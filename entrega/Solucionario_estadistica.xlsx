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cio" sheetId="1" state="visible" r:id="rId1"/>
    <sheet xmlns:r="http://schemas.openxmlformats.org/officeDocument/2006/relationships" name="Traductor" sheetId="2" state="visible" r:id="rId2"/>
    <sheet xmlns:r="http://schemas.openxmlformats.org/officeDocument/2006/relationships" name="A_Discreta" sheetId="3" state="visible" r:id="rId3"/>
    <sheet xmlns:r="http://schemas.openxmlformats.org/officeDocument/2006/relationships" name="B_Tabla_valores" sheetId="4" state="visible" r:id="rId4"/>
    <sheet xmlns:r="http://schemas.openxmlformats.org/officeDocument/2006/relationships" name="C_Intervalos" sheetId="5" state="visible" r:id="rId5"/>
    <sheet xmlns:r="http://schemas.openxmlformats.org/officeDocument/2006/relationships" name="D_Grupos" sheetId="6" state="visible" r:id="rId6"/>
    <sheet xmlns:r="http://schemas.openxmlformats.org/officeDocument/2006/relationships" name="E_Transformacion" sheetId="7" state="visible" r:id="rId7"/>
    <sheet xmlns:r="http://schemas.openxmlformats.org/officeDocument/2006/relationships" name="F_Doble_entrada" sheetId="8" state="visible" r:id="rId8"/>
    <sheet xmlns:r="http://schemas.openxmlformats.org/officeDocument/2006/relationships" name="G_Regresion" sheetId="9" state="visible" r:id="rId9"/>
    <sheet xmlns:r="http://schemas.openxmlformats.org/officeDocument/2006/relationships" name="H_Reg_resumen" sheetId="10" state="visible" r:id="rId10"/>
    <sheet xmlns:r="http://schemas.openxmlformats.org/officeDocument/2006/relationships" name="I_Indices" sheetId="11" state="visible" r:id="rId11"/>
    <sheet xmlns:r="http://schemas.openxmlformats.org/officeDocument/2006/relationships" name="J_Tasas" sheetId="12" state="visible" r:id="rId12"/>
    <sheet xmlns:r="http://schemas.openxmlformats.org/officeDocument/2006/relationships" name="K_Laspeyres" sheetId="13" state="visible" r:id="rId13"/>
    <sheet xmlns:r="http://schemas.openxmlformats.org/officeDocument/2006/relationships" name="L_Deflactar" sheetId="14" state="visible" r:id="rId14"/>
    <sheet xmlns:r="http://schemas.openxmlformats.org/officeDocument/2006/relationships" name="T1_Hermanos" sheetId="15" state="visible" r:id="rId15"/>
    <sheet xmlns:r="http://schemas.openxmlformats.org/officeDocument/2006/relationships" name="T1_Alturas" sheetId="16" state="visible" r:id="rId16"/>
    <sheet xmlns:r="http://schemas.openxmlformats.org/officeDocument/2006/relationships" name="T1_Ponderada_Transf" sheetId="17" state="visible" r:id="rId17"/>
    <sheet xmlns:r="http://schemas.openxmlformats.org/officeDocument/2006/relationships" name="T1_Cuartiles_apuntes" sheetId="18" state="visible" r:id="rId18"/>
    <sheet xmlns:r="http://schemas.openxmlformats.org/officeDocument/2006/relationships" name="T2_Contingencia" sheetId="19" state="visible" r:id="rId19"/>
    <sheet xmlns:r="http://schemas.openxmlformats.org/officeDocument/2006/relationships" name="B12_Ej01" sheetId="20" state="visible" r:id="rId20"/>
    <sheet xmlns:r="http://schemas.openxmlformats.org/officeDocument/2006/relationships" name="B12_Ej03" sheetId="21" state="visible" r:id="rId21"/>
    <sheet xmlns:r="http://schemas.openxmlformats.org/officeDocument/2006/relationships" name="B12_Ej04" sheetId="22" state="visible" r:id="rId22"/>
    <sheet xmlns:r="http://schemas.openxmlformats.org/officeDocument/2006/relationships" name="B12_Ej05" sheetId="23" state="visible" r:id="rId23"/>
    <sheet xmlns:r="http://schemas.openxmlformats.org/officeDocument/2006/relationships" name="B12_Ej06" sheetId="24" state="visible" r:id="rId24"/>
    <sheet xmlns:r="http://schemas.openxmlformats.org/officeDocument/2006/relationships" name="B12_Ej07" sheetId="25" state="visible" r:id="rId25"/>
    <sheet xmlns:r="http://schemas.openxmlformats.org/officeDocument/2006/relationships" name="B12_Ej08" sheetId="26" state="visible" r:id="rId26"/>
    <sheet xmlns:r="http://schemas.openxmlformats.org/officeDocument/2006/relationships" name="B12_Ej09" sheetId="27" state="visible" r:id="rId27"/>
    <sheet xmlns:r="http://schemas.openxmlformats.org/officeDocument/2006/relationships" name="B12_Ej10" sheetId="28" state="visible" r:id="rId28"/>
    <sheet xmlns:r="http://schemas.openxmlformats.org/officeDocument/2006/relationships" name="B12_Ej11" sheetId="29" state="visible" r:id="rId29"/>
    <sheet xmlns:r="http://schemas.openxmlformats.org/officeDocument/2006/relationships" name="B12_Ej12" sheetId="30" state="visible" r:id="rId30"/>
    <sheet xmlns:r="http://schemas.openxmlformats.org/officeDocument/2006/relationships" name="B12_Ej13" sheetId="31" state="visible" r:id="rId31"/>
    <sheet xmlns:r="http://schemas.openxmlformats.org/officeDocument/2006/relationships" name="B12_Ej14" sheetId="32" state="visible" r:id="rId32"/>
    <sheet xmlns:r="http://schemas.openxmlformats.org/officeDocument/2006/relationships" name="B12_Ej15" sheetId="33" state="visible" r:id="rId33"/>
    <sheet xmlns:r="http://schemas.openxmlformats.org/officeDocument/2006/relationships" name="B12_Ej16" sheetId="34" state="visible" r:id="rId34"/>
    <sheet xmlns:r="http://schemas.openxmlformats.org/officeDocument/2006/relationships" name="B12_Ej17" sheetId="35" state="visible" r:id="rId35"/>
    <sheet xmlns:r="http://schemas.openxmlformats.org/officeDocument/2006/relationships" name="B12_Ej18" sheetId="36" state="visible" r:id="rId36"/>
    <sheet xmlns:r="http://schemas.openxmlformats.org/officeDocument/2006/relationships" name="B12_Ej21" sheetId="37" state="visible" r:id="rId37"/>
    <sheet xmlns:r="http://schemas.openxmlformats.org/officeDocument/2006/relationships" name="B12_Ej22" sheetId="38" state="visible" r:id="rId38"/>
    <sheet xmlns:r="http://schemas.openxmlformats.org/officeDocument/2006/relationships" name="T3_Antig_Salario" sheetId="39" state="visible" r:id="rId39"/>
    <sheet xmlns:r="http://schemas.openxmlformats.org/officeDocument/2006/relationships" name="T3_Ej01_02_04" sheetId="40" state="visible" r:id="rId40"/>
    <sheet xmlns:r="http://schemas.openxmlformats.org/officeDocument/2006/relationships" name="T3_Ej03" sheetId="41" state="visible" r:id="rId41"/>
    <sheet xmlns:r="http://schemas.openxmlformats.org/officeDocument/2006/relationships" name="T3_Ej05" sheetId="42" state="visible" r:id="rId42"/>
    <sheet xmlns:r="http://schemas.openxmlformats.org/officeDocument/2006/relationships" name="T3_Ej06_07" sheetId="43" state="visible" r:id="rId43"/>
    <sheet xmlns:r="http://schemas.openxmlformats.org/officeDocument/2006/relationships" name="T3_Ej09_EPF" sheetId="44" state="visible" r:id="rId44"/>
    <sheet xmlns:r="http://schemas.openxmlformats.org/officeDocument/2006/relationships" name="T4_Ej01_02_03" sheetId="45" state="visible" r:id="rId45"/>
    <sheet xmlns:r="http://schemas.openxmlformats.org/officeDocument/2006/relationships" name="T4_Ej04_05_06" sheetId="46" state="visible" r:id="rId46"/>
    <sheet xmlns:r="http://schemas.openxmlformats.org/officeDocument/2006/relationships" name="T4_Ej07_08" sheetId="47" state="visible" r:id="rId47"/>
    <sheet xmlns:r="http://schemas.openxmlformats.org/officeDocument/2006/relationships" name="T4_Ej09_Laspeyres" sheetId="48" state="visible" r:id="rId48"/>
    <sheet xmlns:r="http://schemas.openxmlformats.org/officeDocument/2006/relationships" name="T4_Ej10_11_12" sheetId="49" state="visible" r:id="rId49"/>
    <sheet xmlns:r="http://schemas.openxmlformats.org/officeDocument/2006/relationships" name="T4_Deflactar_apuntes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0"/>
    <numFmt numFmtId="165" formatCode="0.0%"/>
    <numFmt numFmtId="166" formatCode="0.000%"/>
    <numFmt numFmtId="167" formatCode="0.0000%"/>
    <numFmt numFmtId="168" formatCode="0.0"/>
  </numFmts>
  <fonts count="27">
    <font>
      <name val="Calibri"/>
      <family val="2"/>
      <color theme="1"/>
      <sz val="11"/>
      <scheme val="minor"/>
    </font>
    <font>
      <b val="1"/>
      <color rgb="001F4E79"/>
      <sz val="15"/>
    </font>
    <font>
      <b val="1"/>
      <color rgb="001F4E79"/>
      <sz val="14"/>
    </font>
    <font>
      <i val="1"/>
      <color rgb="00595959"/>
    </font>
    <font>
      <b val="1"/>
    </font>
    <font>
      <b val="1"/>
      <color rgb="001F4E79"/>
    </font>
    <font>
      <i val="1"/>
      <color rgb="007F7F7F"/>
    </font>
    <font>
      <name val="Consolas"/>
      <color rgb="000D47A1"/>
      <sz val="9"/>
    </font>
    <font>
      <i val="1"/>
      <color rgb="00C00000"/>
    </font>
    <font>
      <b val="1"/>
      <color rgb="002E75B6"/>
      <sz val="12"/>
    </font>
    <font>
      <color rgb="000563C1"/>
      <u val="single"/>
    </font>
    <font>
      <b val="1"/>
      <color rgb="001F2A30"/>
      <sz val="15"/>
    </font>
    <font>
      <i val="1"/>
      <color rgb="004F5D65"/>
    </font>
    <font>
      <b val="1"/>
      <color rgb="001F2A30"/>
    </font>
    <font>
      <b val="1"/>
      <color rgb="00FFFFFF"/>
    </font>
    <font>
      <name val="Consolas"/>
      <color rgb="001D6F42"/>
      <sz val="9"/>
    </font>
    <font>
      <b val="1"/>
      <color rgb="00FFFFFF"/>
      <sz val="15"/>
    </font>
    <font>
      <color rgb="006B5800"/>
      <sz val="10"/>
    </font>
    <font>
      <color rgb="007A878E"/>
      <sz val="9"/>
    </font>
    <font>
      <b val="1"/>
      <color rgb="006B5800"/>
    </font>
    <font>
      <i val="1"/>
      <color rgb="007A878E"/>
      <sz val="9"/>
    </font>
    <font>
      <b val="1"/>
      <color rgb="000F8A68"/>
    </font>
    <font>
      <b val="1"/>
      <color rgb="000563C1"/>
      <u val="single"/>
    </font>
    <font>
      <b val="1"/>
      <color rgb="001F2A30"/>
      <sz val="20"/>
    </font>
    <font>
      <b val="1"/>
      <color rgb="001F2A30"/>
      <sz val="11"/>
    </font>
    <font>
      <color rgb="0026323A"/>
      <sz val="11"/>
    </font>
    <font>
      <b val="1"/>
      <color rgb="00FFFFFF"/>
      <sz val="13"/>
    </font>
  </fonts>
  <fills count="1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DDE5EA"/>
      </patternFill>
    </fill>
    <fill>
      <patternFill patternType="solid">
        <fgColor rgb="005B6B78"/>
      </patternFill>
    </fill>
    <fill>
      <patternFill patternType="solid">
        <fgColor rgb="002F5FD0"/>
      </patternFill>
    </fill>
    <fill>
      <patternFill patternType="solid">
        <fgColor rgb="00FFF4C2"/>
      </patternFill>
    </fill>
    <fill>
      <patternFill patternType="solid">
        <fgColor rgb="00E2F2EA"/>
      </patternFill>
    </fill>
    <fill>
      <patternFill patternType="solid">
        <fgColor rgb="000F8A68"/>
      </patternFill>
    </fill>
    <fill>
      <patternFill patternType="solid">
        <fgColor rgb="00C2185B"/>
      </patternFill>
    </fill>
    <fill>
      <patternFill patternType="solid">
        <fgColor rgb="00A86F00"/>
      </patternFill>
    </fill>
    <fill>
      <patternFill patternType="solid">
        <fgColor rgb="001F2A30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7C2C8"/>
      </left>
      <right style="thin">
        <color rgb="00B7C2C8"/>
      </right>
      <top style="thin">
        <color rgb="00B7C2C8"/>
      </top>
      <bottom style="thin">
        <color rgb="00B7C2C8"/>
      </bottom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23" fillId="0" borderId="0" pivotButton="0" quotePrefix="0" xfId="0"/>
    <xf numFmtId="0" fontId="12" fillId="0" borderId="0" pivotButton="0" quotePrefix="0" xfId="0"/>
    <xf numFmtId="0" fontId="24" fillId="0" borderId="0" pivotButton="0" quotePrefix="0" xfId="0"/>
    <xf numFmtId="0" fontId="25" fillId="0" borderId="0" pivotButton="0" quotePrefix="0" xfId="0"/>
    <xf numFmtId="0" fontId="26" fillId="13" borderId="0" pivotButton="0" quotePrefix="0" xfId="0"/>
    <xf numFmtId="0" fontId="0" fillId="13" borderId="0" pivotButton="0" quotePrefix="0" xfId="0"/>
    <xf numFmtId="0" fontId="10" fillId="0" borderId="0" pivotButton="0" quotePrefix="0" xfId="0"/>
    <xf numFmtId="0" fontId="0" fillId="0" borderId="0" applyAlignment="1" pivotButton="0" quotePrefix="0" xfId="0">
      <alignment wrapText="1"/>
    </xf>
    <xf numFmtId="0" fontId="26" fillId="6" borderId="0" pivotButton="0" quotePrefix="0" xfId="0"/>
    <xf numFmtId="0" fontId="0" fillId="6" borderId="0" pivotButton="0" quotePrefix="0" xfId="0"/>
    <xf numFmtId="0" fontId="26" fillId="7" borderId="0" pivotButton="0" quotePrefix="0" xfId="0"/>
    <xf numFmtId="0" fontId="0" fillId="7" borderId="0" pivotButton="0" quotePrefix="0" xfId="0"/>
    <xf numFmtId="0" fontId="26" fillId="10" borderId="0" pivotButton="0" quotePrefix="0" xfId="0"/>
    <xf numFmtId="0" fontId="0" fillId="10" borderId="0" pivotButton="0" quotePrefix="0" xfId="0"/>
    <xf numFmtId="0" fontId="26" fillId="11" borderId="0" pivotButton="0" quotePrefix="0" xfId="0"/>
    <xf numFmtId="0" fontId="0" fillId="11" borderId="0" pivotButton="0" quotePrefix="0" xfId="0"/>
    <xf numFmtId="0" fontId="26" fillId="12" borderId="0" pivotButton="0" quotePrefix="0" xfId="0"/>
    <xf numFmtId="0" fontId="0" fillId="12" borderId="0" pivotButton="0" quotePrefix="0" xfId="0"/>
    <xf numFmtId="0" fontId="11" fillId="0" borderId="0" pivotButton="0" quotePrefix="0" xfId="0"/>
    <xf numFmtId="0" fontId="22" fillId="0" borderId="0" pivotButton="0" quotePrefix="0" xfId="0"/>
    <xf numFmtId="0" fontId="13" fillId="5" borderId="2" applyAlignment="1" pivotButton="0" quotePrefix="0" xfId="0">
      <alignment horizontal="center" wrapText="1"/>
    </xf>
    <xf numFmtId="0" fontId="13" fillId="5" borderId="0" pivotButton="0" quotePrefix="0" xfId="0"/>
    <xf numFmtId="0" fontId="14" fillId="6" borderId="0" pivotButton="0" quotePrefix="0" xfId="0"/>
    <xf numFmtId="0" fontId="0" fillId="0" borderId="2" applyAlignment="1" pivotButton="0" quotePrefix="0" xfId="0">
      <alignment vertical="top" wrapText="1"/>
    </xf>
    <xf numFmtId="0" fontId="15" fillId="0" borderId="2" applyAlignment="1" pivotButton="0" quotePrefix="0" xfId="0">
      <alignment vertical="top" wrapText="1"/>
    </xf>
    <xf numFmtId="0" fontId="10" fillId="0" borderId="2" applyAlignment="1" pivotButton="0" quotePrefix="0" xfId="0">
      <alignment vertical="top" wrapText="1"/>
    </xf>
    <xf numFmtId="0" fontId="16" fillId="7" borderId="0" applyAlignment="1" pivotButton="0" quotePrefix="0" xfId="0">
      <alignment vertical="center"/>
    </xf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0" fillId="8" borderId="0" pivotButton="0" quotePrefix="0" xfId="0"/>
    <xf numFmtId="0" fontId="4" fillId="0" borderId="0" pivotButton="0" quotePrefix="0" xfId="0"/>
    <xf numFmtId="0" fontId="0" fillId="8" borderId="2" pivotButton="0" quotePrefix="0" xfId="0"/>
    <xf numFmtId="1" fontId="0" fillId="9" borderId="0" pivotButton="0" quotePrefix="0" xfId="0"/>
    <xf numFmtId="164" fontId="0" fillId="9" borderId="0" pivotButton="0" quotePrefix="0" xfId="0"/>
    <xf numFmtId="2" fontId="0" fillId="9" borderId="0" pivotButton="0" quotePrefix="0" xfId="0"/>
    <xf numFmtId="1" fontId="4" fillId="9" borderId="2" pivotButton="0" quotePrefix="0" xfId="0"/>
    <xf numFmtId="164" fontId="4" fillId="9" borderId="2" pivotButton="0" quotePrefix="0" xfId="0"/>
    <xf numFmtId="0" fontId="20" fillId="0" borderId="0" pivotButton="0" quotePrefix="0" xfId="0"/>
    <xf numFmtId="0" fontId="0" fillId="9" borderId="0" pivotButton="0" quotePrefix="0" xfId="0"/>
    <xf numFmtId="0" fontId="4" fillId="9" borderId="2" pivotButton="0" quotePrefix="0" xfId="0"/>
    <xf numFmtId="10" fontId="4" fillId="9" borderId="2" pivotButton="0" quotePrefix="0" xfId="0"/>
    <xf numFmtId="0" fontId="16" fillId="10" borderId="0" applyAlignment="1" pivotButton="0" quotePrefix="0" xfId="0">
      <alignment vertical="center"/>
    </xf>
    <xf numFmtId="0" fontId="21" fillId="0" borderId="0" pivotButton="0" quotePrefix="0" xfId="0"/>
    <xf numFmtId="165" fontId="0" fillId="9" borderId="0" pivotButton="0" quotePrefix="0" xfId="0"/>
    <xf numFmtId="0" fontId="16" fillId="11" borderId="0" applyAlignment="1" pivotButton="0" quotePrefix="0" xfId="0">
      <alignment vertical="center"/>
    </xf>
    <xf numFmtId="0" fontId="16" fillId="12" borderId="0" applyAlignment="1" pivotButton="0" quotePrefix="0" xfId="0">
      <alignment vertical="center"/>
    </xf>
    <xf numFmtId="10" fontId="0" fillId="9" borderId="0" pivotButton="0" quotePrefix="0" xfId="0"/>
    <xf numFmtId="166" fontId="4" fillId="9" borderId="2" pivotButton="0" quotePrefix="0" xfId="0"/>
    <xf numFmtId="10" fontId="0" fillId="8" borderId="2" pivotButton="0" quotePrefix="0" xfId="0"/>
    <xf numFmtId="10" fontId="0" fillId="8" borderId="0" pivotButton="0" quotePrefix="0" xfId="0"/>
    <xf numFmtId="167" fontId="4" fillId="9" borderId="2" pivotButton="0" quotePrefix="0" xfId="0"/>
    <xf numFmtId="2" fontId="4" fillId="9" borderId="2" pivotButton="0" quotePrefix="0" xfId="0"/>
    <xf numFmtId="0" fontId="2" fillId="0" borderId="0" pivotButton="0" quotePrefix="0" xfId="0"/>
    <xf numFmtId="0" fontId="3" fillId="0" borderId="0" pivotButton="0" quotePrefix="0" xfId="0"/>
    <xf numFmtId="0" fontId="5" fillId="3" borderId="1" pivotButton="0" quotePrefix="0" xfId="0"/>
    <xf numFmtId="164" fontId="4" fillId="4" borderId="1" pivotButton="0" quotePrefix="0" xfId="0"/>
    <xf numFmtId="0" fontId="7" fillId="0" borderId="0" pivotButton="0" quotePrefix="0" xfId="0"/>
    <xf numFmtId="0" fontId="0" fillId="2" borderId="0" pivotButton="0" quotePrefix="0" xfId="0"/>
    <xf numFmtId="0" fontId="0" fillId="2" borderId="1" pivotButton="0" quotePrefix="0" xfId="0"/>
    <xf numFmtId="0" fontId="0" fillId="0" borderId="1" pivotButton="0" quotePrefix="0" xfId="0"/>
    <xf numFmtId="0" fontId="6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5" fillId="3" borderId="1" applyAlignment="1" pivotButton="0" quotePrefix="0" xfId="0">
      <alignment horizontal="center" wrapText="1"/>
    </xf>
    <xf numFmtId="164" fontId="0" fillId="0" borderId="1" pivotButton="0" quotePrefix="0" xfId="0"/>
    <xf numFmtId="0" fontId="4" fillId="0" borderId="1" pivotButton="0" quotePrefix="0" xfId="0"/>
    <xf numFmtId="2" fontId="4" fillId="4" borderId="1" pivotButton="0" quotePrefix="0" xfId="0"/>
    <xf numFmtId="0" fontId="0" fillId="4" borderId="0" pivotButton="0" quotePrefix="0" xfId="0"/>
    <xf numFmtId="10" fontId="4" fillId="4" borderId="1" pivotButton="0" quotePrefix="0" xfId="0"/>
    <xf numFmtId="0" fontId="6" fillId="0" borderId="0" pivotButton="0" quotePrefix="0" xfId="0"/>
    <xf numFmtId="165" fontId="0" fillId="0" borderId="1" pivotButton="0" quotePrefix="0" xfId="0"/>
    <xf numFmtId="1" fontId="4" fillId="4" borderId="1" pivotButton="0" quotePrefix="0" xfId="0"/>
    <xf numFmtId="168" fontId="4" fillId="4" borderId="1" pivotButton="0" quotePrefix="0" xfId="0"/>
    <xf numFmtId="164" fontId="0" fillId="2" borderId="1" pivotButton="0" quotePrefix="0" xfId="0"/>
    <xf numFmtId="2" fontId="0" fillId="4" borderId="1" pivotButton="0" quotePrefix="0" xfId="0"/>
    <xf numFmtId="9" fontId="0" fillId="2" borderId="1" pivotButton="0" quotePrefix="0" xfId="0"/>
    <xf numFmtId="2" fontId="0" fillId="0" borderId="1" pivotButton="0" quotePrefix="0" xfId="0"/>
    <xf numFmtId="10" fontId="0" fillId="0" borderId="1" pivotButton="0" quotePrefix="0" xfId="0"/>
    <xf numFmtId="166" fontId="4" fillId="4" borderId="1" pivotButton="0" quotePrefix="0" xfId="0"/>
    <xf numFmtId="166" fontId="4" fillId="9" borderId="2" pivotButton="0" quotePrefix="0" xfId="0"/>
    <xf numFmtId="167" fontId="4" fillId="9" borderId="2" pivotButton="0" quotePrefix="0" xfId="0"/>
    <xf numFmtId="168" fontId="4" fillId="4" borderId="1" pivotButton="0" quotePrefix="0" xfId="0"/>
    <xf numFmtId="166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showGridLines="0" tabSelected="1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62" customWidth="1" min="3" max="3"/>
    <col width="40" customWidth="1" min="4" max="4"/>
  </cols>
  <sheetData>
    <row r="1"/>
    <row r="2">
      <c r="B2" s="1" t="inlineStr">
        <is>
          <t>Mi solucionario de Estadística</t>
        </is>
      </c>
    </row>
    <row r="3">
      <c r="B3" s="2" t="inlineStr">
        <is>
          <t>Ejercicios resueltos con fórmulas, calculadoras y traductor de enunciados, todo en un archivo.</t>
        </is>
      </c>
    </row>
    <row r="4"/>
    <row r="5">
      <c r="B5" s="3" t="inlineStr">
        <is>
          <t>Cómo usarlo en el examen:</t>
        </is>
      </c>
    </row>
    <row r="6">
      <c r="B6" s="4" t="inlineStr">
        <is>
          <t>1.  Lee la pregunta y busca una frase parecida en la hoja «Traductor» (Ctrl + B para buscar).</t>
        </is>
      </c>
    </row>
    <row r="7">
      <c r="B7" s="4" t="inlineStr">
        <is>
          <t>2.  Pulsa el enlace de la columna «Plantilla» (calculadora) o «Ejemplo resuelto».</t>
        </is>
      </c>
    </row>
    <row r="8">
      <c r="B8" s="4" t="inlineStr">
        <is>
          <t>3.  Copia la hoja antes de tocarla: clic derecho en la pestaña → Mover o copiar → marca «Crear una copia».</t>
        </is>
      </c>
    </row>
    <row r="9">
      <c r="B9" s="4" t="inlineStr">
        <is>
          <t>4.  En la copia, cambia los datos (celdas amarillas o azules) por los del examen. Todo se recalcula solo.</t>
        </is>
      </c>
    </row>
    <row r="10">
      <c r="B10" s="4" t="inlineStr">
        <is>
          <t>5.  Pasa el resultado a tu examen y escribe la frase de interpretación.</t>
        </is>
      </c>
    </row>
    <row r="11">
      <c r="B11" s="4" t="inlineStr">
        <is>
          <t>Si tus datos tienen más o menos filas que el ejemplo resuelto, usa mejor la plantilla: admite hasta 500 datos.</t>
        </is>
      </c>
    </row>
    <row r="12"/>
    <row r="13"/>
    <row r="14">
      <c r="B14" s="5" t="inlineStr">
        <is>
          <t>Paso 1 · ¿Qué me están pidiendo?</t>
        </is>
      </c>
      <c r="C14" s="6" t="n"/>
      <c r="D14" s="6" t="n"/>
    </row>
    <row r="15">
      <c r="B15" s="7" t="inlineStr">
        <is>
          <t>Traductor</t>
        </is>
      </c>
      <c r="C15" s="8" t="inlineStr">
        <is>
          <t>Frases típicas del enunciado → qué calcular, plantilla y ejemplo resuelto</t>
        </is>
      </c>
    </row>
    <row r="16"/>
    <row r="17">
      <c r="B17" s="9" t="inlineStr">
        <is>
          <t>Calculadoras (pega tus datos)</t>
        </is>
      </c>
      <c r="C17" s="10" t="n"/>
      <c r="D17" s="10" t="n"/>
    </row>
    <row r="18">
      <c r="B18" s="7" t="inlineStr">
        <is>
          <t>A_Discreta</t>
        </is>
      </c>
      <c r="C18" s="8" t="inlineStr">
        <is>
          <t>Datos sueltos (una variable)</t>
        </is>
      </c>
    </row>
    <row r="19">
      <c r="B19" s="7" t="inlineStr">
        <is>
          <t>B_Tabla_valores</t>
        </is>
      </c>
      <c r="C19" s="8" t="inlineStr">
        <is>
          <t>Tabla de valores y frecuencias</t>
        </is>
      </c>
    </row>
    <row r="20">
      <c r="B20" s="7" t="inlineStr">
        <is>
          <t>C_Intervalos</t>
        </is>
      </c>
      <c r="C20" s="8" t="inlineStr">
        <is>
          <t>Datos agrupados en intervalos</t>
        </is>
      </c>
    </row>
    <row r="21">
      <c r="B21" s="7" t="inlineStr">
        <is>
          <t>D_Grupos</t>
        </is>
      </c>
      <c r="C21" s="8" t="inlineStr">
        <is>
          <t>Grupos: media global y varianza dentro / entre</t>
        </is>
      </c>
    </row>
    <row r="22">
      <c r="B22" s="7" t="inlineStr">
        <is>
          <t>E_Transformacion</t>
        </is>
      </c>
      <c r="C22" s="8" t="inlineStr">
        <is>
          <t>Cambios de origen y escala (Y = a·X + b)</t>
        </is>
      </c>
    </row>
    <row r="23">
      <c r="B23" s="7" t="inlineStr">
        <is>
          <t>F_Doble_entrada</t>
        </is>
      </c>
      <c r="C23" s="8" t="inlineStr">
        <is>
          <t>Tabla de doble entrada</t>
        </is>
      </c>
    </row>
    <row r="24">
      <c r="B24" s="7" t="inlineStr">
        <is>
          <t>G_Regresion</t>
        </is>
      </c>
      <c r="C24" s="8" t="inlineStr">
        <is>
          <t>Regresión y correlación con datos</t>
        </is>
      </c>
    </row>
    <row r="25">
      <c r="B25" s="7" t="inlineStr">
        <is>
          <t>H_Reg_resumen</t>
        </is>
      </c>
      <c r="C25" s="8" t="inlineStr">
        <is>
          <t>Regresión a partir de resúmenes</t>
        </is>
      </c>
    </row>
    <row r="26">
      <c r="B26" s="7" t="inlineStr">
        <is>
          <t>I_Indices</t>
        </is>
      </c>
      <c r="C26" s="8" t="inlineStr">
        <is>
          <t>Serie temporal: índices y tasas</t>
        </is>
      </c>
    </row>
    <row r="27">
      <c r="B27" s="7" t="inlineStr">
        <is>
          <t>J_Tasas</t>
        </is>
      </c>
      <c r="C27" s="8" t="inlineStr">
        <is>
          <t>Tasas encadenadas y equivalentes</t>
        </is>
      </c>
    </row>
    <row r="28">
      <c r="B28" s="7" t="inlineStr">
        <is>
          <t>K_Laspeyres</t>
        </is>
      </c>
      <c r="C28" s="8" t="inlineStr">
        <is>
          <t>Laspeyres, Paasche y Fisher</t>
        </is>
      </c>
    </row>
    <row r="29">
      <c r="B29" s="7" t="inlineStr">
        <is>
          <t>L_Deflactar</t>
        </is>
      </c>
      <c r="C29" s="8" t="inlineStr">
        <is>
          <t>Deflactar con el IPC (valores reales)</t>
        </is>
      </c>
    </row>
    <row r="30"/>
    <row r="31">
      <c r="B31" s="11" t="inlineStr">
        <is>
          <t>Resueltos · Tema 1 · ejemplos de los apuntes</t>
        </is>
      </c>
      <c r="C31" s="12" t="n"/>
      <c r="D31" s="12" t="n"/>
    </row>
    <row r="32">
      <c r="B32" s="7" t="inlineStr">
        <is>
          <t>T1_Hermanos</t>
        </is>
      </c>
      <c r="C32" s="8" t="inlineStr">
        <is>
          <t>Tabla de frecuencias, media, mediana, moda, cuartiles, varianzas, CV, forma</t>
        </is>
      </c>
    </row>
    <row r="33">
      <c r="B33" s="7" t="inlineStr">
        <is>
          <t>T1_Alturas</t>
        </is>
      </c>
      <c r="C33" s="8" t="inlineStr">
        <is>
          <t>Media, varianza, cuartiles exactos y agrupados; moda y mediana con fórmula</t>
        </is>
      </c>
    </row>
    <row r="34">
      <c r="B34" s="7" t="inlineStr">
        <is>
          <t>T1_Ponderada_Transf</t>
        </is>
      </c>
      <c r="C34" s="8" t="inlineStr">
        <is>
          <t>Media ponderada, truncada, transformaciones, CV, varianza dentro/entre, tipificar</t>
        </is>
      </c>
    </row>
    <row r="35">
      <c r="B35" s="7" t="inlineStr">
        <is>
          <t>T1_Cuartiles_apuntes</t>
        </is>
      </c>
      <c r="C35" s="8" t="inlineStr">
        <is>
          <t>Cuantiles con intervalos</t>
        </is>
      </c>
    </row>
    <row r="36"/>
    <row r="37">
      <c r="B37" s="13" t="inlineStr">
        <is>
          <t>Resueltos · Tema 2 · ejemplos de los apuntes</t>
        </is>
      </c>
      <c r="C37" s="14" t="n"/>
      <c r="D37" s="14" t="n"/>
    </row>
    <row r="38">
      <c r="B38" s="7" t="inlineStr">
        <is>
          <t>T2_Contingencia</t>
        </is>
      </c>
      <c r="C38" s="8" t="inlineStr">
        <is>
          <t>Marginales, relativas, tabla de independencia, condicionadas</t>
        </is>
      </c>
    </row>
    <row r="39"/>
    <row r="40">
      <c r="B40" s="13" t="inlineStr">
        <is>
          <t>Resueltos · Boletín de los Temas 1 y 2</t>
        </is>
      </c>
      <c r="C40" s="14" t="n"/>
      <c r="D40" s="14" t="n"/>
    </row>
    <row r="41">
      <c r="B41" s="7" t="inlineStr">
        <is>
          <t>B12_Ej01</t>
        </is>
      </c>
      <c r="C41" s="8" t="inlineStr">
        <is>
          <t>Ej. 1: Medias, varianzas y datos tipificados  —  Medias, varianzas, tipificados</t>
        </is>
      </c>
    </row>
    <row r="42">
      <c r="B42" s="7" t="inlineStr">
        <is>
          <t>B12_Ej03</t>
        </is>
      </c>
      <c r="C42" s="8" t="inlineStr">
        <is>
          <t>Ej. 3: Número de hijos  —  Tabla de frecuencias y medidas</t>
        </is>
      </c>
    </row>
    <row r="43">
      <c r="B43" s="7" t="inlineStr">
        <is>
          <t>B12_Ej04</t>
        </is>
      </c>
      <c r="C43" s="8" t="inlineStr">
        <is>
          <t>Ej. 4: Lesiones en fútbol y baloncesto  —  Media, moda, mediana, varianza</t>
        </is>
      </c>
    </row>
    <row r="44">
      <c r="B44" s="7" t="inlineStr">
        <is>
          <t>B12_Ej05</t>
        </is>
      </c>
      <c r="C44" s="8" t="inlineStr">
        <is>
          <t>Ej. 5: Histograma con intervalos de distinta amplitud  —  Densidades</t>
        </is>
      </c>
    </row>
    <row r="45">
      <c r="B45" s="7" t="inlineStr">
        <is>
          <t>B12_Ej06</t>
        </is>
      </c>
      <c r="C45" s="8" t="inlineStr">
        <is>
          <t>Ej. 6: Notas de un examen  —  Frecuencias y acumuladas</t>
        </is>
      </c>
    </row>
    <row r="46">
      <c r="B46" s="7" t="inlineStr">
        <is>
          <t>B12_Ej07</t>
        </is>
      </c>
      <c r="C46" s="8" t="inlineStr">
        <is>
          <t>Ej. 7: Pólizas de seguros (26 días)  —  Reparto uniforme dentro del intervalo</t>
        </is>
      </c>
    </row>
    <row r="47">
      <c r="B47" s="7" t="inlineStr">
        <is>
          <t>B12_Ej08</t>
        </is>
      </c>
      <c r="C47" s="8" t="inlineStr">
        <is>
          <t>Ej. 8: Exportaciones (miles de euros)  —  Media, varianza, CV y transformaciones</t>
        </is>
      </c>
    </row>
    <row r="48">
      <c r="B48" s="7" t="inlineStr">
        <is>
          <t>B12_Ej09</t>
        </is>
      </c>
      <c r="C48" s="8" t="inlineStr">
        <is>
          <t>Ej. 9: Óxido de azufre  —  Media y varianza con frecuencias relativas</t>
        </is>
      </c>
    </row>
    <row r="49">
      <c r="B49" s="7" t="inlineStr">
        <is>
          <t>B12_Ej10</t>
        </is>
      </c>
      <c r="C49" s="8" t="inlineStr">
        <is>
          <t>Ej. 10: Sueldos de 15 trabajadores  —  Media, mediana, moda, S, CV, subida del 5 %</t>
        </is>
      </c>
    </row>
    <row r="50">
      <c r="B50" s="7" t="inlineStr">
        <is>
          <t>B12_Ej11</t>
        </is>
      </c>
      <c r="C50" s="8" t="inlineStr">
        <is>
          <t>Ej. 11: Superficie de 200 apartamentos  —  Media, alquiler medio, moda con densidades</t>
        </is>
      </c>
    </row>
    <row r="51">
      <c r="B51" s="7" t="inlineStr">
        <is>
          <t>B12_Ej12</t>
        </is>
      </c>
      <c r="C51" s="8" t="inlineStr">
        <is>
          <t>Ej. 12: Puntuación para cada puesto  —  Percentiles 65, 85 y 95</t>
        </is>
      </c>
    </row>
    <row r="52">
      <c r="B52" s="7" t="inlineStr">
        <is>
          <t>B12_Ej13</t>
        </is>
      </c>
      <c r="C52" s="8" t="inlineStr">
        <is>
          <t>Ej. 13: Viviendas en Pontevedra y Galicia  —  Media, moda, S, P35-P65, varianza en subpoblaciones</t>
        </is>
      </c>
    </row>
    <row r="53">
      <c r="B53" s="7" t="inlineStr">
        <is>
          <t>B12_Ej14</t>
        </is>
      </c>
      <c r="C53" s="8" t="inlineStr">
        <is>
          <t>Ej. 14: Salarios por categoría  —  CV por grupo; media y S global</t>
        </is>
      </c>
    </row>
    <row r="54">
      <c r="B54" s="7" t="inlineStr">
        <is>
          <t>B12_Ej15</t>
        </is>
      </c>
      <c r="C54" s="8" t="inlineStr">
        <is>
          <t>Ej. 15: Hogares: personas y superficie  —  Moda de Y, mediana de X, varianza condicionada</t>
        </is>
      </c>
    </row>
    <row r="55">
      <c r="B55" s="7" t="inlineStr">
        <is>
          <t>B12_Ej16</t>
        </is>
      </c>
      <c r="C55" s="8" t="inlineStr">
        <is>
          <t>Ej. 16: Ingresos y gasto en streaming  —  Medias, varianzas, independencia, cuartiles condicionados</t>
        </is>
      </c>
    </row>
    <row r="56">
      <c r="B56" s="7" t="inlineStr">
        <is>
          <t>B12_Ej17</t>
        </is>
      </c>
      <c r="C56" s="8" t="inlineStr">
        <is>
          <t>Ej. 17: Gasto de turistas en Galicia  —  Medias, mediana, moda, P75, CV norte vs sur</t>
        </is>
      </c>
    </row>
    <row r="57">
      <c r="B57" s="7" t="inlineStr">
        <is>
          <t>B12_Ej18</t>
        </is>
      </c>
      <c r="C57" s="8" t="inlineStr">
        <is>
          <t>Ej. 18: Cinturón de seguridad y gravedad de las heridas  —  Relativas, marginales, condicionadas, independencia</t>
        </is>
      </c>
    </row>
    <row r="58">
      <c r="B58" s="7" t="inlineStr">
        <is>
          <t>B12_Ej21</t>
        </is>
      </c>
      <c r="C58" s="8" t="inlineStr">
        <is>
          <t>Ej. 21: Desigualdad salarial por sexo  —  CV, varianza dentro/entre, % entre grupos</t>
        </is>
      </c>
    </row>
    <row r="59">
      <c r="B59" s="7" t="inlineStr">
        <is>
          <t>B12_Ej22</t>
        </is>
      </c>
      <c r="C59" s="8" t="inlineStr">
        <is>
          <t>Ej. 22: Cuatro propuestas de subida salarial  —  Transformaciones lineales</t>
        </is>
      </c>
    </row>
    <row r="60"/>
    <row r="61">
      <c r="B61" s="15" t="inlineStr">
        <is>
          <t>Resueltos · Tema 3 · regresión</t>
        </is>
      </c>
      <c r="C61" s="16" t="n"/>
      <c r="D61" s="16" t="n"/>
    </row>
    <row r="62">
      <c r="B62" s="7" t="inlineStr">
        <is>
          <t>T3_Antig_Salario</t>
        </is>
      </c>
      <c r="C62" s="8" t="inlineStr">
        <is>
          <t>Covarianza, recta, r, R², predicción (funciones y fórmulas)</t>
        </is>
      </c>
    </row>
    <row r="63">
      <c r="B63" s="7" t="inlineStr">
        <is>
          <t>T3_Ej01_02_04</t>
        </is>
      </c>
      <c r="C63" s="8" t="inlineStr">
        <is>
          <t>Ej. 1: Publicidad y ventas · Ej. 2: Rendimiento de acciones e índice bursátil · Ej. 4: Tasación y precio de venta de viviendas  —  Rectas a partir de medias, S y Sxy</t>
        </is>
      </c>
    </row>
    <row r="64">
      <c r="B64" s="7" t="inlineStr">
        <is>
          <t>T3_Ej03</t>
        </is>
      </c>
      <c r="C64" s="8" t="inlineStr">
        <is>
          <t>Ej. 3: Precio por hora y clientes de talleres  —  Recta, r, R², predicción</t>
        </is>
      </c>
    </row>
    <row r="65">
      <c r="B65" s="7" t="inlineStr">
        <is>
          <t>T3_Ej05</t>
        </is>
      </c>
      <c r="C65" s="8" t="inlineStr">
        <is>
          <t>Ej. 5: Vertidos y sanciones  —  Recta, r, R², predicción</t>
        </is>
      </c>
    </row>
    <row r="66">
      <c r="B66" s="7" t="inlineStr">
        <is>
          <t>T3_Ej06_07</t>
        </is>
      </c>
      <c r="C66" s="8" t="inlineStr">
        <is>
          <t>Ej. 6: Recuperar datos a partir de la recta · Ej. 7: Las dos rectas a partir de r  —  Relaciones entre b, r, S</t>
        </is>
      </c>
    </row>
    <row r="67">
      <c r="B67" s="7" t="inlineStr">
        <is>
          <t>T3_Ej09_EPF</t>
        </is>
      </c>
      <c r="C67" s="8" t="inlineStr">
        <is>
          <t>Ej. 9: Rectas con la EPF  —  Regresiones entre partidas de gasto</t>
        </is>
      </c>
    </row>
    <row r="68"/>
    <row r="69">
      <c r="B69" s="17" t="inlineStr">
        <is>
          <t>Resueltos · Tema 4 · números índices</t>
        </is>
      </c>
      <c r="C69" s="18" t="n"/>
      <c r="D69" s="18" t="n"/>
    </row>
    <row r="70">
      <c r="B70" s="7" t="inlineStr">
        <is>
          <t>T4_Ej01_02_03</t>
        </is>
      </c>
      <c r="C70" s="8" t="inlineStr">
        <is>
          <t>Ej. 1: Índices de producción · Ej. 2: Precio de un bien · Ej. 3: Cuentas corrientes de un banco  —  Índices a partir de tasas</t>
        </is>
      </c>
    </row>
    <row r="71">
      <c r="B71" s="7" t="inlineStr">
        <is>
          <t>T4_Ej04_05_06</t>
        </is>
      </c>
      <c r="C71" s="8" t="inlineStr">
        <is>
          <t>Ej. 4: ¿Está bien ajustado el salario? · Ej. 5: Tasas de variación de inversiones · Ej. 6: Justificar dos series de índices  —  Salario real, tasas, cambio de base</t>
        </is>
      </c>
    </row>
    <row r="72">
      <c r="B72" s="7" t="inlineStr">
        <is>
          <t>T4_Ej07_08</t>
        </is>
      </c>
      <c r="C72" s="8" t="inlineStr">
        <is>
          <t>Ej. 7: Cantidad, precio y valor · Ej. 8: Tasas mensuales  —  Tasas anuales equivalentes, tasas mensuales</t>
        </is>
      </c>
    </row>
    <row r="73">
      <c r="B73" s="7" t="inlineStr">
        <is>
          <t>T4_Ej09_Laspeyres</t>
        </is>
      </c>
      <c r="C73" s="8" t="inlineStr">
        <is>
          <t>Ej. 9: Laspeyres y Paasche de una cesta  —  Índices complejos</t>
        </is>
      </c>
    </row>
    <row r="74">
      <c r="B74" s="7" t="inlineStr">
        <is>
          <t>T4_Ej10_11_12</t>
        </is>
      </c>
      <c r="C74" s="8" t="inlineStr">
        <is>
          <t>Ej. 10: Sueldos e IPC (base 1990) · Ej. 11: Actualizar un alquiler con el IPC · Ej. 12: SMI real con base 2010  —  Cambio de base del IPC, deflactar</t>
        </is>
      </c>
    </row>
    <row r="75">
      <c r="B75" s="7" t="inlineStr">
        <is>
          <t>T4_Deflactar_apuntes</t>
        </is>
      </c>
      <c r="C75" s="8" t="inlineStr">
        <is>
          <t>Salario real, índices nominal y real</t>
        </is>
      </c>
    </row>
  </sheetData>
  <hyperlinks>
    <hyperlink ref="B15" location="'Traductor'!A1"/>
    <hyperlink ref="B18" location="'A_Discreta'!A1"/>
    <hyperlink ref="B19" location="'B_Tabla_valores'!A1"/>
    <hyperlink ref="B20" location="'C_Intervalos'!A1"/>
    <hyperlink ref="B21" location="'D_Grupos'!A1"/>
    <hyperlink ref="B22" location="'E_Transformacion'!A1"/>
    <hyperlink ref="B23" location="'F_Doble_entrada'!A1"/>
    <hyperlink ref="B24" location="'G_Regresion'!A1"/>
    <hyperlink ref="B25" location="'H_Reg_resumen'!A1"/>
    <hyperlink ref="B26" location="'I_Indices'!A1"/>
    <hyperlink ref="B27" location="'J_Tasas'!A1"/>
    <hyperlink ref="B28" location="'K_Laspeyres'!A1"/>
    <hyperlink ref="B29" location="'L_Deflactar'!A1"/>
    <hyperlink ref="B32" location="'T1_Hermanos'!A1"/>
    <hyperlink ref="B33" location="'T1_Alturas'!A1"/>
    <hyperlink ref="B34" location="'T1_Ponderada_Transf'!A1"/>
    <hyperlink ref="B35" location="'T1_Cuartiles_apuntes'!A1"/>
    <hyperlink ref="B38" location="'T2_Contingencia'!A1"/>
    <hyperlink ref="B41" location="'B12_Ej01'!A1"/>
    <hyperlink ref="B42" location="'B12_Ej03'!A1"/>
    <hyperlink ref="B43" location="'B12_Ej04'!A1"/>
    <hyperlink ref="B44" location="'B12_Ej05'!A1"/>
    <hyperlink ref="B45" location="'B12_Ej06'!A1"/>
    <hyperlink ref="B46" location="'B12_Ej07'!A1"/>
    <hyperlink ref="B47" location="'B12_Ej08'!A1"/>
    <hyperlink ref="B48" location="'B12_Ej09'!A1"/>
    <hyperlink ref="B49" location="'B12_Ej10'!A1"/>
    <hyperlink ref="B50" location="'B12_Ej11'!A1"/>
    <hyperlink ref="B51" location="'B12_Ej12'!A1"/>
    <hyperlink ref="B52" location="'B12_Ej13'!A1"/>
    <hyperlink ref="B53" location="'B12_Ej14'!A1"/>
    <hyperlink ref="B54" location="'B12_Ej15'!A1"/>
    <hyperlink ref="B55" location="'B12_Ej16'!A1"/>
    <hyperlink ref="B56" location="'B12_Ej17'!A1"/>
    <hyperlink ref="B57" location="'B12_Ej18'!A1"/>
    <hyperlink ref="B58" location="'B12_Ej21'!A1"/>
    <hyperlink ref="B59" location="'B12_Ej22'!A1"/>
    <hyperlink ref="B62" location="'T3_Antig_Salario'!A1"/>
    <hyperlink ref="B63" location="'T3_Ej01_02_04'!A1"/>
    <hyperlink ref="B64" location="'T3_Ej03'!A1"/>
    <hyperlink ref="B65" location="'T3_Ej05'!A1"/>
    <hyperlink ref="B66" location="'T3_Ej06_07'!A1"/>
    <hyperlink ref="B67" location="'T3_Ej09_EPF'!A1"/>
    <hyperlink ref="B70" location="'T4_Ej01_02_03'!A1"/>
    <hyperlink ref="B71" location="'T4_Ej04_05_06'!A1"/>
    <hyperlink ref="B72" location="'T4_Ej07_08'!A1"/>
    <hyperlink ref="B73" location="'T4_Ej09_Laspeyres'!A1"/>
    <hyperlink ref="B74" location="'T4_Ej10_11_12'!A1"/>
    <hyperlink ref="B75" location="'T4_Deflactar_apuntes'!A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2A30"/>
    <outlinePr summaryBelow="1" summaryRight="1"/>
    <pageSetUpPr/>
  </sheetPr>
  <dimension ref="A1:F54"/>
  <sheetViews>
    <sheetView tabSelected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40" customWidth="1" min="3" max="3"/>
    <col width="18" customWidth="1" min="4" max="4"/>
    <col width="22" customWidth="1" min="5" max="5"/>
  </cols>
  <sheetData>
    <row r="1">
      <c r="A1" s="19" t="inlineStr">
        <is>
          <t>¿Qué me están pidiendo?  Traductor de enunciados</t>
        </is>
      </c>
      <c r="F1" s="20" t="inlineStr">
        <is>
          <t>← Volver al inicio</t>
        </is>
      </c>
    </row>
    <row r="2">
      <c r="A2" s="2" t="inlineStr">
        <is>
          <t>Busca en el enunciado una frase parecida (Ctrl + B para buscar) y mira qué hay que calcular y con qué.</t>
        </is>
      </c>
    </row>
    <row r="3"/>
    <row r="4">
      <c r="A4" s="21" t="inlineStr">
        <is>
          <t>Si el enunciado dice…</t>
        </is>
      </c>
      <c r="B4" s="21" t="inlineStr">
        <is>
          <t>Te están pidiendo…</t>
        </is>
      </c>
      <c r="C4" s="21" t="inlineStr">
        <is>
          <t>En Excel</t>
        </is>
      </c>
      <c r="D4" s="21" t="inlineStr">
        <is>
          <t>Plantilla</t>
        </is>
      </c>
      <c r="E4" s="22" t="inlineStr">
        <is>
          <t>Ejemplo resuelto</t>
        </is>
      </c>
    </row>
    <row r="5">
      <c r="A5" s="23" t="inlineStr">
        <is>
          <t>TEMA 1 · UNA VARIABLE</t>
        </is>
      </c>
      <c r="B5" s="10" t="n"/>
      <c r="C5" s="10" t="n"/>
      <c r="D5" s="10" t="n"/>
    </row>
    <row r="6">
      <c r="A6" s="24" t="inlineStr">
        <is>
          <t>"valor medio", "promedio", "por término medio"</t>
        </is>
      </c>
      <c r="B6" s="24" t="inlineStr">
        <is>
          <t>Media</t>
        </is>
      </c>
      <c r="C6" s="25" t="inlineStr">
        <is>
          <t>=PROMEDIO(datos) · tabla: SUMAPRODUCTO(x;n)/SUMA(n)</t>
        </is>
      </c>
      <c r="D6" s="26" t="inlineStr">
        <is>
          <t>A_Discreta / C_Intervalos</t>
        </is>
      </c>
      <c r="E6" s="7" t="inlineStr">
        <is>
          <t>T1_Hermanos</t>
        </is>
      </c>
    </row>
    <row r="7">
      <c r="A7" s="24" t="inlineStr">
        <is>
          <t>"el más frecuente", "el más habitual", "el que más se repite"</t>
        </is>
      </c>
      <c r="B7" s="24" t="inlineStr">
        <is>
          <t>Moda (con intervalos de distinta amplitud: por densidad)</t>
        </is>
      </c>
      <c r="C7" s="25" t="inlineStr">
        <is>
          <t>=MODA.UNO(datos) · intervalos: fórmula de la moda</t>
        </is>
      </c>
      <c r="D7" s="26" t="inlineStr">
        <is>
          <t>C_Intervalos</t>
        </is>
      </c>
      <c r="E7" s="7" t="inlineStr">
        <is>
          <t>B12_Ej11</t>
        </is>
      </c>
    </row>
    <row r="8">
      <c r="A8" s="24" t="inlineStr">
        <is>
          <t>"el valor central", "la mitad tiene menos de…", "deja el 50 % por debajo"</t>
        </is>
      </c>
      <c r="B8" s="24" t="inlineStr">
        <is>
          <t>Mediana</t>
        </is>
      </c>
      <c r="C8" s="25" t="inlineStr">
        <is>
          <t>=MEDIANA(datos) · tabla: primera Nᵢ ≥ n/2</t>
        </is>
      </c>
      <c r="D8" s="26" t="inlineStr">
        <is>
          <t>B_Tabla_valores</t>
        </is>
      </c>
      <c r="E8" s="7" t="inlineStr">
        <is>
          <t>T1_Hermanos</t>
        </is>
      </c>
    </row>
    <row r="9">
      <c r="A9" s="24" t="inlineStr">
        <is>
          <t>"el 25 % que menos…", "a partir de cuánto se está en el 25 % inferior"</t>
        </is>
      </c>
      <c r="B9" s="24" t="inlineStr">
        <is>
          <t>Primer cuartil (P25)</t>
        </is>
      </c>
      <c r="C9" s="25" t="inlineStr">
        <is>
          <t>=CUARTIL.INC(datos;1)</t>
        </is>
      </c>
      <c r="D9" s="26" t="inlineStr">
        <is>
          <t>A / B / C</t>
        </is>
      </c>
      <c r="E9" s="7" t="inlineStr">
        <is>
          <t>B12_Ej12</t>
        </is>
      </c>
    </row>
    <row r="10">
      <c r="A10" s="24" t="inlineStr">
        <is>
          <t>"el 25 % que más…", "estar entre el 25 % que más gasta"</t>
        </is>
      </c>
      <c r="B10" s="24" t="inlineStr">
        <is>
          <t>Tercer cuartil (P75)</t>
        </is>
      </c>
      <c r="C10" s="25" t="inlineStr">
        <is>
          <t>=CUARTIL.INC(datos;3)</t>
        </is>
      </c>
      <c r="D10" s="26" t="inlineStr">
        <is>
          <t>A / B / C</t>
        </is>
      </c>
      <c r="E10" s="7" t="inlineStr">
        <is>
          <t>B12_Ej12</t>
        </is>
      </c>
    </row>
    <row r="11">
      <c r="A11" s="24" t="inlineStr">
        <is>
          <t>"el X % que más…", "estar en el X % superior"</t>
        </is>
      </c>
      <c r="B11" s="24" t="inlineStr">
        <is>
          <t>Percentil 100 − X</t>
        </is>
      </c>
      <c r="C11" s="25" t="inlineStr">
        <is>
          <t>=PERCENTIL.INC(datos;(100−X)/100)</t>
        </is>
      </c>
      <c r="D11" s="26" t="inlineStr">
        <is>
          <t>A / B / C</t>
        </is>
      </c>
      <c r="E11" s="7" t="inlineStr">
        <is>
          <t>B12_Ej12</t>
        </is>
      </c>
    </row>
    <row r="12">
      <c r="A12" s="24" t="inlineStr">
        <is>
          <t>"el X % que menos…", "como mucho para estar en el X % inferior"</t>
        </is>
      </c>
      <c r="B12" s="24" t="inlineStr">
        <is>
          <t>Percentil X</t>
        </is>
      </c>
      <c r="C12" s="25" t="inlineStr">
        <is>
          <t>=PERCENTIL.INC(datos;X/100)</t>
        </is>
      </c>
      <c r="D12" s="26" t="inlineStr">
        <is>
          <t>A / B / C</t>
        </is>
      </c>
      <c r="E12" s="7" t="inlineStr">
        <is>
          <t>B12_Ej12</t>
        </is>
      </c>
    </row>
    <row r="13">
      <c r="A13" s="24" t="inlineStr">
        <is>
          <t>"entre qué valores está el 50 % central"</t>
        </is>
      </c>
      <c r="B13" s="24" t="inlineStr">
        <is>
          <t>C₁ y C₃</t>
        </is>
      </c>
      <c r="C13" s="25" t="inlineStr">
        <is>
          <t>CUARTIL.INC 1 y 3</t>
        </is>
      </c>
      <c r="D13" s="26" t="inlineStr">
        <is>
          <t>A / B / C</t>
        </is>
      </c>
      <c r="E13" s="7" t="inlineStr">
        <is>
          <t>T1_Cuartiles_apuntes</t>
        </is>
      </c>
    </row>
    <row r="14">
      <c r="A14" s="24" t="inlineStr">
        <is>
          <t>"entre qué valores está el X % central"</t>
        </is>
      </c>
      <c r="B14" s="24" t="inlineStr">
        <is>
          <t>P(50−X/2) y P(50+X/2)  (30 % central: P35 y P65)</t>
        </is>
      </c>
      <c r="C14" s="25" t="inlineStr">
        <is>
          <t>PERCENTIL.INC</t>
        </is>
      </c>
      <c r="D14" s="26" t="inlineStr">
        <is>
          <t>C_Intervalos</t>
        </is>
      </c>
      <c r="E14" s="7" t="inlineStr">
        <is>
          <t>B12_Ej13</t>
        </is>
      </c>
    </row>
    <row r="15">
      <c r="A15" s="24" t="inlineStr">
        <is>
          <t>"cuántos tienen más de k" / "al menos k" / "menos de k"</t>
        </is>
      </c>
      <c r="B15" s="24" t="inlineStr">
        <is>
          <t>"más de" NO incluye k; "al menos" SÍ lo incluye</t>
        </is>
      </c>
      <c r="C15" s="25" t="inlineStr">
        <is>
          <t>=CONTAR.SI(datos;"&gt;k") · "&gt;=k" · "&lt;k"</t>
        </is>
      </c>
      <c r="D15" s="26" t="inlineStr">
        <is>
          <t>A_Discreta</t>
        </is>
      </c>
      <c r="E15" s="7" t="inlineStr">
        <is>
          <t>B12_Ej06</t>
        </is>
      </c>
    </row>
    <row r="16">
      <c r="A16" s="24" t="inlineStr">
        <is>
          <t>"dispersión", "variabilidad absoluta", "cuánto se separan"</t>
        </is>
      </c>
      <c r="B16" s="24" t="inlineStr">
        <is>
          <t>Varianza o desviación típica</t>
        </is>
      </c>
      <c r="C16" s="25" t="inlineStr">
        <is>
          <t>=VAR.P · =DESVEST.P</t>
        </is>
      </c>
      <c r="D16" s="26" t="inlineStr">
        <is>
          <t>A / B / C</t>
        </is>
      </c>
      <c r="E16" s="7" t="inlineStr">
        <is>
          <t>B12_Ej08</t>
        </is>
      </c>
    </row>
    <row r="17">
      <c r="A17" s="24" t="inlineStr">
        <is>
          <t>"más homogéneo", "más representativa la media", "variabilidad relativa", comparar grupos con medias distintas</t>
        </is>
      </c>
      <c r="B17" s="24" t="inlineStr">
        <is>
          <t>Coeficiente de variación (el MENOR es el más homogéneo)</t>
        </is>
      </c>
      <c r="C17" s="25" t="inlineStr">
        <is>
          <t>=DESVEST.P/PROMEDIO</t>
        </is>
      </c>
      <c r="D17" s="26" t="inlineStr">
        <is>
          <t>A / C / D_Grupos</t>
        </is>
      </c>
      <c r="E17" s="7" t="inlineStr">
        <is>
          <t>B12_Ej14</t>
        </is>
      </c>
    </row>
    <row r="18">
      <c r="A18" s="24" t="inlineStr">
        <is>
          <t>"cuasivarianza", "varianza muestral corregida"</t>
        </is>
      </c>
      <c r="B18" s="24" t="inlineStr">
        <is>
          <t>Cuasivarianza (divide entre n − 1)</t>
        </is>
      </c>
      <c r="C18" s="25" t="inlineStr">
        <is>
          <t>=VAR.S · =DESVEST.S</t>
        </is>
      </c>
      <c r="D18" s="26" t="inlineStr">
        <is>
          <t>A_Discreta</t>
        </is>
      </c>
      <c r="E18" s="7" t="inlineStr">
        <is>
          <t>T1_Hermanos</t>
        </is>
      </c>
    </row>
    <row r="19">
      <c r="A19" s="24" t="inlineStr">
        <is>
          <t>"forma", "simétrica", "cola"</t>
        </is>
      </c>
      <c r="B19" s="24" t="inlineStr">
        <is>
          <t>Coeficiente de asimetría (signo)</t>
        </is>
      </c>
      <c r="C19" s="25" t="inlineStr">
        <is>
          <t>=COEFICIENTE.ASIMETRIA.P</t>
        </is>
      </c>
      <c r="D19" s="26" t="inlineStr">
        <is>
          <t>A_Discreta</t>
        </is>
      </c>
      <c r="E19" s="7" t="inlineStr">
        <is>
          <t>T1_Hermanos</t>
        </is>
      </c>
    </row>
    <row r="20">
      <c r="A20" s="24" t="inlineStr">
        <is>
          <t>"picuda", "aplanada", "apuntamiento"</t>
        </is>
      </c>
      <c r="B20" s="24" t="inlineStr">
        <is>
          <t>Curtosis (signo)</t>
        </is>
      </c>
      <c r="C20" s="25" t="inlineStr">
        <is>
          <t>=CURTOSIS</t>
        </is>
      </c>
      <c r="D20" s="26" t="inlineStr">
        <is>
          <t>A_Discreta</t>
        </is>
      </c>
      <c r="E20" s="7" t="inlineStr">
        <is>
          <t>T1_Hermanos</t>
        </is>
      </c>
    </row>
    <row r="21">
      <c r="A21" s="24" t="inlineStr">
        <is>
          <t>"valores atípicos", "outliers", "diagrama de caja"</t>
        </is>
      </c>
      <c r="B21" s="24" t="inlineStr">
        <is>
          <t>Límites C₁ − 1,5·IQR y C₃ + 1,5·IQR</t>
        </is>
      </c>
      <c r="C21" s="25" t="inlineStr">
        <is>
          <t>Fórmula con CUARTIL.INC</t>
        </is>
      </c>
      <c r="D21" s="26" t="inlineStr">
        <is>
          <t>A_Discreta</t>
        </is>
      </c>
      <c r="E21" s="7" t="inlineStr">
        <is>
          <t>T1_Hermanos</t>
        </is>
      </c>
    </row>
    <row r="22">
      <c r="A22" s="24" t="inlineStr">
        <is>
          <t>"comparar la posición de alguien en dos grupos distintos"</t>
        </is>
      </c>
      <c r="B22" s="24" t="inlineStr">
        <is>
          <t>Tipificar: z = (x − media)/S</t>
        </is>
      </c>
      <c r="C22" s="25" t="inlineStr">
        <is>
          <t>=NORMALIZACION(x;media;S)</t>
        </is>
      </c>
      <c r="D22" s="24" t="inlineStr">
        <is>
          <t>—</t>
        </is>
      </c>
      <c r="E22" s="7" t="inlineStr">
        <is>
          <t>T1_Ponderada_Transf</t>
        </is>
      </c>
    </row>
    <row r="23">
      <c r="A23" s="24" t="inlineStr">
        <is>
          <t>"media de todos" a partir de medias de grupos de distinto tamaño</t>
        </is>
      </c>
      <c r="B23" s="24" t="inlineStr">
        <is>
          <t>Media ponderada</t>
        </is>
      </c>
      <c r="C23" s="25" t="inlineStr">
        <is>
          <t>=SUMAPRODUCTO(medias;tamaños)/SUMA(tamaños)</t>
        </is>
      </c>
      <c r="D23" s="26" t="inlineStr">
        <is>
          <t>D_Grupos</t>
        </is>
      </c>
      <c r="E23" s="7" t="inlineStr">
        <is>
          <t>T1_Ponderada_Transf</t>
        </is>
      </c>
    </row>
    <row r="24">
      <c r="A24" s="24" t="inlineStr">
        <is>
          <t>"varianza de toda la empresa" a partir de grupos</t>
        </is>
      </c>
      <c r="B24" s="24" t="inlineStr">
        <is>
          <t>Varianza dentro + varianza entre</t>
        </is>
      </c>
      <c r="C24" s="25" t="inlineStr">
        <is>
          <t>—</t>
        </is>
      </c>
      <c r="D24" s="26" t="inlineStr">
        <is>
          <t>D_Grupos</t>
        </is>
      </c>
      <c r="E24" s="7" t="inlineStr">
        <is>
          <t>B12_Ej13</t>
        </is>
      </c>
    </row>
    <row r="25">
      <c r="A25" s="24" t="inlineStr">
        <is>
          <t>"% de la variabilidad debido a las diferencias entre grupos", "desigualdad"</t>
        </is>
      </c>
      <c r="B25" s="24" t="inlineStr">
        <is>
          <t>Varianza entre ÷ varianza total</t>
        </is>
      </c>
      <c r="C25" s="25" t="inlineStr">
        <is>
          <t>—</t>
        </is>
      </c>
      <c r="D25" s="26" t="inlineStr">
        <is>
          <t>D_Grupos</t>
        </is>
      </c>
      <c r="E25" s="7" t="inlineStr">
        <is>
          <t>B12_Ej21</t>
        </is>
      </c>
    </row>
    <row r="26">
      <c r="A26" s="24" t="inlineStr">
        <is>
          <t>"todos suben X €" / "suben un X %" ¿qué pasa con media y varianza?</t>
        </is>
      </c>
      <c r="B26" s="24" t="inlineStr">
        <is>
          <t>Sumar: media + X, varianza igual. Multiplicar por a: media·a, varianza·a²</t>
        </is>
      </c>
      <c r="C26" s="25" t="inlineStr">
        <is>
          <t>—</t>
        </is>
      </c>
      <c r="D26" s="26" t="inlineStr">
        <is>
          <t>E_Transformacion</t>
        </is>
      </c>
      <c r="E26" s="7" t="inlineStr">
        <is>
          <t>B12_Ej22</t>
        </is>
      </c>
    </row>
    <row r="27">
      <c r="A27" s="24" t="inlineStr">
        <is>
          <t>"sin calcularlo, indica qué pasa…"</t>
        </is>
      </c>
      <c r="B27" s="24" t="inlineStr">
        <is>
          <t>Reglas de cambio de origen y escala (arriba)</t>
        </is>
      </c>
      <c r="C27" s="25" t="inlineStr">
        <is>
          <t>—</t>
        </is>
      </c>
      <c r="D27" s="26" t="inlineStr">
        <is>
          <t>E_Transformacion</t>
        </is>
      </c>
      <c r="E27" s="7" t="inlineStr">
        <is>
          <t>B12_Ej22</t>
        </is>
      </c>
    </row>
    <row r="28">
      <c r="A28" s="23" t="inlineStr">
        <is>
          <t>TEMA 2 · DOS VARIABLES</t>
        </is>
      </c>
      <c r="B28" s="10" t="n"/>
      <c r="C28" s="10" t="n"/>
      <c r="D28" s="10" t="n"/>
    </row>
    <row r="29">
      <c r="A29" s="24" t="inlineStr">
        <is>
          <t>"distribución marginal de X"</t>
        </is>
      </c>
      <c r="B29" s="24" t="inlineStr">
        <is>
          <t>Los totales de las filas (o de las columnas para Y)</t>
        </is>
      </c>
      <c r="C29" s="25" t="inlineStr">
        <is>
          <t>=SUMA(fila)</t>
        </is>
      </c>
      <c r="D29" s="26" t="inlineStr">
        <is>
          <t>F_Doble_entrada</t>
        </is>
      </c>
      <c r="E29" s="7" t="inlineStr">
        <is>
          <t>T2_Contingencia</t>
        </is>
      </c>
    </row>
    <row r="30">
      <c r="A30" s="24" t="inlineStr">
        <is>
          <t>"distribución de Y condicionada a X = …", "de los que…, ¿qué %…?"</t>
        </is>
      </c>
      <c r="B30" s="24" t="inlineStr">
        <is>
          <t>Esa fila (o columna) dividida entre SU total</t>
        </is>
      </c>
      <c r="C30" s="25" t="inlineStr">
        <is>
          <t>=casilla/total de la fila</t>
        </is>
      </c>
      <c r="D30" s="26" t="inlineStr">
        <is>
          <t>F_Doble_entrada</t>
        </is>
      </c>
      <c r="E30" s="7" t="inlineStr">
        <is>
          <t>T2_Contingencia</t>
        </is>
      </c>
    </row>
    <row r="31">
      <c r="A31" s="24" t="inlineStr">
        <is>
          <t>"¿son independientes?", "¿influye X en Y?", "¿depende…?"</t>
        </is>
      </c>
      <c r="B31" s="24" t="inlineStr">
        <is>
          <t>Comparar fᵢⱼ con fᵢ.·f.ⱼ en todas las casillas</t>
        </is>
      </c>
      <c r="C31" s="25" t="inlineStr">
        <is>
          <t>—</t>
        </is>
      </c>
      <c r="D31" s="26" t="inlineStr">
        <is>
          <t>F_Doble_entrada</t>
        </is>
      </c>
      <c r="E31" s="7" t="inlineStr">
        <is>
          <t>B12_Ej18</t>
        </is>
      </c>
    </row>
    <row r="32">
      <c r="A32" s="24" t="inlineStr">
        <is>
          <t>"frecuencias relativas" de una tabla de doble entrada</t>
        </is>
      </c>
      <c r="B32" s="24" t="inlineStr">
        <is>
          <t>Cada casilla ÷ n</t>
        </is>
      </c>
      <c r="C32" s="25" t="inlineStr">
        <is>
          <t>=casilla/$total$</t>
        </is>
      </c>
      <c r="D32" s="26" t="inlineStr">
        <is>
          <t>F_Doble_entrada</t>
        </is>
      </c>
      <c r="E32" s="7" t="inlineStr">
        <is>
          <t>T2_Contingencia</t>
        </is>
      </c>
    </row>
    <row r="33">
      <c r="A33" s="23" t="inlineStr">
        <is>
          <t>TEMA 3 · REGRESIÓN</t>
        </is>
      </c>
      <c r="B33" s="10" t="n"/>
      <c r="C33" s="10" t="n"/>
      <c r="D33" s="10" t="n"/>
    </row>
    <row r="34">
      <c r="A34" s="24" t="inlineStr">
        <is>
          <t>"recta que explica Y a partir de X", "Y en función de X"</t>
        </is>
      </c>
      <c r="B34" s="24" t="inlineStr">
        <is>
          <t>Recta de Y sobre X: Ŷ = a + b·X</t>
        </is>
      </c>
      <c r="C34" s="25" t="inlineStr">
        <is>
          <t>=PENDIENTE(Y;X) · =INTERSECCION.EJE(Y;X)</t>
        </is>
      </c>
      <c r="D34" s="26" t="inlineStr">
        <is>
          <t>G_Regresion</t>
        </is>
      </c>
      <c r="E34" s="7" t="inlineStr">
        <is>
          <t>T3_Antig_Salario</t>
        </is>
      </c>
    </row>
    <row r="35">
      <c r="A35" s="24" t="inlineStr">
        <is>
          <t>"cuánto cambia Y por cada unidad de X"</t>
        </is>
      </c>
      <c r="B35" s="24" t="inlineStr">
        <is>
          <t>La pendiente b</t>
        </is>
      </c>
      <c r="C35" s="25" t="inlineStr">
        <is>
          <t>=PENDIENTE(Y;X)</t>
        </is>
      </c>
      <c r="D35" s="26" t="inlineStr">
        <is>
          <t>G / H</t>
        </is>
      </c>
      <c r="E35" s="7" t="inlineStr">
        <is>
          <t>T3_Antig_Salario</t>
        </is>
      </c>
    </row>
    <row r="36">
      <c r="A36" s="24" t="inlineStr">
        <is>
          <t>"grado de relación lineal", "intensidad y sentido"</t>
        </is>
      </c>
      <c r="B36" s="24" t="inlineStr">
        <is>
          <t>Correlación r</t>
        </is>
      </c>
      <c r="C36" s="25" t="inlineStr">
        <is>
          <t>=COEF.DE.CORREL(X;Y)</t>
        </is>
      </c>
      <c r="D36" s="26" t="inlineStr">
        <is>
          <t>G / H</t>
        </is>
      </c>
      <c r="E36" s="7" t="inlineStr">
        <is>
          <t>T3_Antig_Salario</t>
        </is>
      </c>
    </row>
    <row r="37">
      <c r="A37" s="24" t="inlineStr">
        <is>
          <t>"bondad del ajuste", "% explicado", "fiabilidad de la recta"</t>
        </is>
      </c>
      <c r="B37" s="24" t="inlineStr">
        <is>
          <t>R² (en %)</t>
        </is>
      </c>
      <c r="C37" s="25" t="inlineStr">
        <is>
          <t>=COEFICIENTE.R2(Y;X)</t>
        </is>
      </c>
      <c r="D37" s="26" t="inlineStr">
        <is>
          <t>G / H</t>
        </is>
      </c>
      <c r="E37" s="7" t="inlineStr">
        <is>
          <t>T3_Antig_Salario</t>
        </is>
      </c>
    </row>
    <row r="38">
      <c r="A38" s="24" t="inlineStr">
        <is>
          <t>"% NO explicado"</t>
        </is>
      </c>
      <c r="B38" s="24" t="inlineStr">
        <is>
          <t>1 − R²</t>
        </is>
      </c>
      <c r="C38" s="25" t="inlineStr">
        <is>
          <t>—</t>
        </is>
      </c>
      <c r="D38" s="26" t="inlineStr">
        <is>
          <t>G / H</t>
        </is>
      </c>
      <c r="E38" s="7" t="inlineStr">
        <is>
          <t>T3_Antig_Salario</t>
        </is>
      </c>
    </row>
    <row r="39">
      <c r="A39" s="24" t="inlineStr">
        <is>
          <t>"¿cuánto se espera de Y si X vale…?", "estima", "predice"</t>
        </is>
      </c>
      <c r="B39" s="24" t="inlineStr">
        <is>
          <t>Sustituir X en la recta</t>
        </is>
      </c>
      <c r="C39" s="25" t="inlineStr">
        <is>
          <t>=PRONOSTICO.LINEAL(x;Y;X)</t>
        </is>
      </c>
      <c r="D39" s="26" t="inlineStr">
        <is>
          <t>G / H</t>
        </is>
      </c>
      <c r="E39" s="7" t="inlineStr">
        <is>
          <t>T3_Antig_Salario</t>
        </is>
      </c>
    </row>
    <row r="40">
      <c r="A40" s="24" t="inlineStr">
        <is>
          <t>"variación conjunta", "¿relación directa o inversa?"</t>
        </is>
      </c>
      <c r="B40" s="24" t="inlineStr">
        <is>
          <t>Covarianza (signo)</t>
        </is>
      </c>
      <c r="C40" s="25" t="inlineStr">
        <is>
          <t>=COVARIANZA.P(X;Y)</t>
        </is>
      </c>
      <c r="D40" s="26" t="inlineStr">
        <is>
          <t>G_Regresion</t>
        </is>
      </c>
      <c r="E40" s="7" t="inlineStr">
        <is>
          <t>T3_Antig_Salario</t>
        </is>
      </c>
    </row>
    <row r="41">
      <c r="A41" s="24" t="inlineStr">
        <is>
          <t>Te dan medias, S y Sxy (o r) pero no los datos</t>
        </is>
      </c>
      <c r="B41" s="24" t="inlineStr">
        <is>
          <t>b = Sxy/Sx² · a = ȳ − b·x̄ · r = Sxy/(Sx·Sy)</t>
        </is>
      </c>
      <c r="C41" s="25" t="inlineStr">
        <is>
          <t>—</t>
        </is>
      </c>
      <c r="D41" s="26" t="inlineStr">
        <is>
          <t>H_Reg_resumen</t>
        </is>
      </c>
      <c r="E41" s="7" t="inlineStr">
        <is>
          <t>T3_Ej01_02_04</t>
        </is>
      </c>
    </row>
    <row r="42">
      <c r="A42" s="23" t="inlineStr">
        <is>
          <t>TEMA 4 · ÍNDICES</t>
        </is>
      </c>
      <c r="B42" s="10" t="n"/>
      <c r="C42" s="10" t="n"/>
      <c r="D42" s="10" t="n"/>
    </row>
    <row r="43">
      <c r="A43" s="24" t="inlineStr">
        <is>
          <t>"índice con base 20XX", "evolución respecto a 20XX"</t>
        </is>
      </c>
      <c r="B43" s="24" t="inlineStr">
        <is>
          <t>Índice simple: valor/valor base × 100</t>
        </is>
      </c>
      <c r="C43" s="25" t="inlineStr">
        <is>
          <t>=B3/$B$2*100</t>
        </is>
      </c>
      <c r="D43" s="26" t="inlineStr">
        <is>
          <t>I_Indices</t>
        </is>
      </c>
      <c r="E43" s="7" t="inlineStr">
        <is>
          <t>T4_Ej04_05_06</t>
        </is>
      </c>
    </row>
    <row r="44">
      <c r="A44" s="24" t="inlineStr">
        <is>
          <t>"tasa de variación", "cuánto ha subido/bajado"</t>
        </is>
      </c>
      <c r="B44" s="24" t="inlineStr">
        <is>
          <t>valor/anterior − 1</t>
        </is>
      </c>
      <c r="C44" s="25" t="inlineStr">
        <is>
          <t>=B3/B2-1</t>
        </is>
      </c>
      <c r="D44" s="26" t="inlineStr">
        <is>
          <t>I_Indices</t>
        </is>
      </c>
      <c r="E44" s="7" t="inlineStr">
        <is>
          <t>T4_Ej04_05_06</t>
        </is>
      </c>
    </row>
    <row r="45">
      <c r="A45" s="24" t="inlineStr">
        <is>
          <t>"cambia la base a 20XX"</t>
        </is>
      </c>
      <c r="B45" s="24" t="inlineStr">
        <is>
          <t>Dividir toda la serie entre el índice de 20XX</t>
        </is>
      </c>
      <c r="C45" s="25" t="inlineStr">
        <is>
          <t>=C2/$C$6*100</t>
        </is>
      </c>
      <c r="D45" s="26" t="inlineStr">
        <is>
          <t>I_Indices</t>
        </is>
      </c>
      <c r="E45" s="7" t="inlineStr">
        <is>
          <t>T4_Ej04_05_06</t>
        </is>
      </c>
    </row>
    <row r="46">
      <c r="A46" s="24" t="inlineStr">
        <is>
          <t>"subió un X % y luego bajó un Y %" (acumulado)</t>
        </is>
      </c>
      <c r="B46" s="24" t="inlineStr">
        <is>
          <t>Multiplicar: (1+X)·(1−Y)</t>
        </is>
      </c>
      <c r="C46" s="25" t="inlineStr">
        <is>
          <t>=PRODUCTO</t>
        </is>
      </c>
      <c r="D46" s="26" t="inlineStr">
        <is>
          <t>J_Tasas</t>
        </is>
      </c>
      <c r="E46" s="7" t="inlineStr">
        <is>
          <t>T4_Ej01_02_03</t>
        </is>
      </c>
    </row>
    <row r="47">
      <c r="A47" s="24" t="inlineStr">
        <is>
          <t>"tasa media anual", "crecimiento medio por año"</t>
        </is>
      </c>
      <c r="B47" s="24" t="inlineStr">
        <is>
          <t>Media geométrica: (1+T)^(1/años) − 1</t>
        </is>
      </c>
      <c r="C47" s="25" t="inlineStr">
        <is>
          <t>=MEDIA.GEOM · =(1+T)^(1/k)-1</t>
        </is>
      </c>
      <c r="D47" s="26" t="inlineStr">
        <is>
          <t>I / J</t>
        </is>
      </c>
      <c r="E47" s="7" t="inlineStr">
        <is>
          <t>T4_Ej07_08</t>
        </is>
      </c>
    </row>
    <row r="48">
      <c r="A48" s="24" t="inlineStr">
        <is>
          <t>"tasa mensual equivalente" a una anual</t>
        </is>
      </c>
      <c r="B48" s="24" t="inlineStr">
        <is>
          <t>(1 + anual)^(1/12) − 1</t>
        </is>
      </c>
      <c r="C48" s="25" t="inlineStr">
        <is>
          <t>=(1+t)^(1/12)-1</t>
        </is>
      </c>
      <c r="D48" s="26" t="inlineStr">
        <is>
          <t>J_Tasas</t>
        </is>
      </c>
      <c r="E48" s="7" t="inlineStr">
        <is>
          <t>T4_Ej07_08</t>
        </is>
      </c>
    </row>
    <row r="49">
      <c r="A49" s="24" t="inlineStr">
        <is>
          <t>"A superó en un X % a B"</t>
        </is>
      </c>
      <c r="B49" s="24" t="inlineStr">
        <is>
          <t>A = (1 + X/100)·B → B = A/(1 + X/100)</t>
        </is>
      </c>
      <c r="C49" s="25" t="inlineStr">
        <is>
          <t>—</t>
        </is>
      </c>
      <c r="D49" s="26" t="inlineStr">
        <is>
          <t>J_Tasas</t>
        </is>
      </c>
      <c r="E49" s="7" t="inlineStr">
        <is>
          <t>T4_Ej01_02_03</t>
        </is>
      </c>
    </row>
    <row r="50">
      <c r="A50" s="24" t="inlineStr">
        <is>
          <t>"índice de precios con las cantidades del año base"</t>
        </is>
      </c>
      <c r="B50" s="24" t="inlineStr">
        <is>
          <t>Laspeyres</t>
        </is>
      </c>
      <c r="C50" s="25" t="inlineStr">
        <is>
          <t>SUMAPRODUCTO(pt;q0)/SUMAPRODUCTO(p0;q0)*100</t>
        </is>
      </c>
      <c r="D50" s="26" t="inlineStr">
        <is>
          <t>K_Laspeyres</t>
        </is>
      </c>
      <c r="E50" s="7" t="inlineStr">
        <is>
          <t>T4_Ej09_Laspeyres</t>
        </is>
      </c>
    </row>
    <row r="51">
      <c r="A51" s="24" t="inlineStr">
        <is>
          <t>"con las cantidades actuales"</t>
        </is>
      </c>
      <c r="B51" s="24" t="inlineStr">
        <is>
          <t>Paasche</t>
        </is>
      </c>
      <c r="C51" s="25" t="inlineStr">
        <is>
          <t>SUMAPRODUCTO(pt;qt)/SUMAPRODUCTO(p0;qt)*100</t>
        </is>
      </c>
      <c r="D51" s="26" t="inlineStr">
        <is>
          <t>K_Laspeyres</t>
        </is>
      </c>
      <c r="E51" s="7" t="inlineStr">
        <is>
          <t>T4_Ej09_Laspeyres</t>
        </is>
      </c>
    </row>
    <row r="52">
      <c r="A52" s="24" t="inlineStr">
        <is>
          <t>"índice de Fisher"</t>
        </is>
      </c>
      <c r="B52" s="24" t="inlineStr">
        <is>
          <t>√(Laspeyres · Paasche)</t>
        </is>
      </c>
      <c r="C52" s="25" t="inlineStr">
        <is>
          <t>=RAIZ(L*P)</t>
        </is>
      </c>
      <c r="D52" s="26" t="inlineStr">
        <is>
          <t>K_Laspeyres</t>
        </is>
      </c>
      <c r="E52" s="7" t="inlineStr">
        <is>
          <t>T4_Ej09_Laspeyres</t>
        </is>
      </c>
    </row>
    <row r="53">
      <c r="A53" s="24" t="inlineStr">
        <is>
          <t>"en términos reales", "euros constantes", "poder adquisitivo", "deflactar"</t>
        </is>
      </c>
      <c r="B53" s="24" t="inlineStr">
        <is>
          <t>Valor nominal ÷ IPC × 100</t>
        </is>
      </c>
      <c r="C53" s="25" t="inlineStr">
        <is>
          <t>=B2/C2*100</t>
        </is>
      </c>
      <c r="D53" s="26" t="inlineStr">
        <is>
          <t>L_Deflactar</t>
        </is>
      </c>
      <c r="E53" s="7" t="inlineStr">
        <is>
          <t>T4_Deflactar_apuntes</t>
        </is>
      </c>
    </row>
    <row r="54">
      <c r="A54" s="24" t="inlineStr">
        <is>
          <t>"¿está bien actualizado el salario/alquiler con el IPC?"</t>
        </is>
      </c>
      <c r="B54" s="24" t="inlineStr">
        <is>
          <t>Comparar con valor × IPC nuevo/IPC viejo</t>
        </is>
      </c>
      <c r="C54" s="25" t="inlineStr">
        <is>
          <t>—</t>
        </is>
      </c>
      <c r="D54" s="26" t="inlineStr">
        <is>
          <t>L_Deflactar</t>
        </is>
      </c>
      <c r="E54" s="7" t="inlineStr">
        <is>
          <t>T4_Ej10_11_12</t>
        </is>
      </c>
    </row>
  </sheetData>
  <hyperlinks>
    <hyperlink ref="F1" location="'Inicio'!A1"/>
    <hyperlink ref="D6" location="'A_Discreta'!A1"/>
    <hyperlink ref="E6" location="'T1_Hermanos'!A1"/>
    <hyperlink ref="D7" location="'C_Intervalos'!A1"/>
    <hyperlink ref="E7" location="'B12_Ej11'!A1"/>
    <hyperlink ref="D8" location="'B_Tabla_valores'!A1"/>
    <hyperlink ref="E8" location="'T1_Hermanos'!A1"/>
    <hyperlink ref="D9" location="'A_Discreta'!A1"/>
    <hyperlink ref="E9" location="'B12_Ej12'!A1"/>
    <hyperlink ref="D10" location="'A_Discreta'!A1"/>
    <hyperlink ref="E10" location="'B12_Ej12'!A1"/>
    <hyperlink ref="D11" location="'A_Discreta'!A1"/>
    <hyperlink ref="E11" location="'B12_Ej12'!A1"/>
    <hyperlink ref="D12" location="'A_Discreta'!A1"/>
    <hyperlink ref="E12" location="'B12_Ej12'!A1"/>
    <hyperlink ref="D13" location="'A_Discreta'!A1"/>
    <hyperlink ref="E13" location="'T1_Cuartiles_apuntes'!A1"/>
    <hyperlink ref="D14" location="'C_Intervalos'!A1"/>
    <hyperlink ref="E14" location="'B12_Ej13'!A1"/>
    <hyperlink ref="D15" location="'A_Discreta'!A1"/>
    <hyperlink ref="E15" location="'B12_Ej06'!A1"/>
    <hyperlink ref="D16" location="'A_Discreta'!A1"/>
    <hyperlink ref="E16" location="'B12_Ej08'!A1"/>
    <hyperlink ref="D17" location="'A_Discreta'!A1"/>
    <hyperlink ref="E17" location="'B12_Ej14'!A1"/>
    <hyperlink ref="D18" location="'A_Discreta'!A1"/>
    <hyperlink ref="E18" location="'T1_Hermanos'!A1"/>
    <hyperlink ref="D19" location="'A_Discreta'!A1"/>
    <hyperlink ref="E19" location="'T1_Hermanos'!A1"/>
    <hyperlink ref="D20" location="'A_Discreta'!A1"/>
    <hyperlink ref="E20" location="'T1_Hermanos'!A1"/>
    <hyperlink ref="D21" location="'A_Discreta'!A1"/>
    <hyperlink ref="E21" location="'T1_Hermanos'!A1"/>
    <hyperlink ref="E22" location="'T1_Ponderada_Transf'!A1"/>
    <hyperlink ref="D23" location="'D_Grupos'!A1"/>
    <hyperlink ref="E23" location="'T1_Ponderada_Transf'!A1"/>
    <hyperlink ref="D24" location="'D_Grupos'!A1"/>
    <hyperlink ref="E24" location="'B12_Ej13'!A1"/>
    <hyperlink ref="D25" location="'D_Grupos'!A1"/>
    <hyperlink ref="E25" location="'B12_Ej21'!A1"/>
    <hyperlink ref="D26" location="'E_Transformacion'!A1"/>
    <hyperlink ref="E26" location="'B12_Ej22'!A1"/>
    <hyperlink ref="D27" location="'E_Transformacion'!A1"/>
    <hyperlink ref="E27" location="'B12_Ej22'!A1"/>
    <hyperlink ref="D29" location="'F_Doble_entrada'!A1"/>
    <hyperlink ref="E29" location="'T2_Contingencia'!A1"/>
    <hyperlink ref="D30" location="'F_Doble_entrada'!A1"/>
    <hyperlink ref="E30" location="'T2_Contingencia'!A1"/>
    <hyperlink ref="D31" location="'F_Doble_entrada'!A1"/>
    <hyperlink ref="E31" location="'B12_Ej18'!A1"/>
    <hyperlink ref="D32" location="'F_Doble_entrada'!A1"/>
    <hyperlink ref="E32" location="'T2_Contingencia'!A1"/>
    <hyperlink ref="D34" location="'G_Regresion'!A1"/>
    <hyperlink ref="E34" location="'T3_Antig_Salario'!A1"/>
    <hyperlink ref="D35" location="'G_Regresion'!A1"/>
    <hyperlink ref="E35" location="'T3_Antig_Salario'!A1"/>
    <hyperlink ref="D36" location="'G_Regresion'!A1"/>
    <hyperlink ref="E36" location="'T3_Antig_Salario'!A1"/>
    <hyperlink ref="D37" location="'G_Regresion'!A1"/>
    <hyperlink ref="E37" location="'T3_Antig_Salario'!A1"/>
    <hyperlink ref="D38" location="'G_Regresion'!A1"/>
    <hyperlink ref="E38" location="'T3_Antig_Salario'!A1"/>
    <hyperlink ref="D39" location="'G_Regresion'!A1"/>
    <hyperlink ref="E39" location="'T3_Antig_Salario'!A1"/>
    <hyperlink ref="D40" location="'G_Regresion'!A1"/>
    <hyperlink ref="E40" location="'T3_Antig_Salario'!A1"/>
    <hyperlink ref="D41" location="'H_Reg_resumen'!A1"/>
    <hyperlink ref="E41" location="'T3_Ej01_02_04'!A1"/>
    <hyperlink ref="D43" location="'I_Indices'!A1"/>
    <hyperlink ref="E43" location="'T4_Ej04_05_06'!A1"/>
    <hyperlink ref="D44" location="'I_Indices'!A1"/>
    <hyperlink ref="E44" location="'T4_Ej04_05_06'!A1"/>
    <hyperlink ref="D45" location="'I_Indices'!A1"/>
    <hyperlink ref="E45" location="'T4_Ej04_05_06'!A1"/>
    <hyperlink ref="D46" location="'J_Tasas'!A1"/>
    <hyperlink ref="E46" location="'T4_Ej01_02_03'!A1"/>
    <hyperlink ref="D47" location="'I_Indices'!A1"/>
    <hyperlink ref="E47" location="'T4_Ej07_08'!A1"/>
    <hyperlink ref="D48" location="'J_Tasas'!A1"/>
    <hyperlink ref="E48" location="'T4_Ej07_08'!A1"/>
    <hyperlink ref="D49" location="'J_Tasas'!A1"/>
    <hyperlink ref="E49" location="'T4_Ej01_02_03'!A1"/>
    <hyperlink ref="D50" location="'K_Laspeyres'!A1"/>
    <hyperlink ref="E50" location="'T4_Ej09_Laspeyres'!A1"/>
    <hyperlink ref="D51" location="'K_Laspeyres'!A1"/>
    <hyperlink ref="E51" location="'T4_Ej09_Laspeyres'!A1"/>
    <hyperlink ref="D52" location="'K_Laspeyres'!A1"/>
    <hyperlink ref="E52" location="'T4_Ej09_Laspeyres'!A1"/>
    <hyperlink ref="D53" location="'L_Deflactar'!A1"/>
    <hyperlink ref="E53" location="'T4_Deflactar_apuntes'!A1"/>
    <hyperlink ref="D54" location="'L_Deflactar'!A1"/>
    <hyperlink ref="E54" location="'T4_Ej10_11_12'!A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F5FD0"/>
    <outlinePr summaryBelow="1" summaryRight="1"/>
    <pageSetUpPr/>
  </sheetPr>
  <dimension ref="A1:L506"/>
  <sheetViews>
    <sheetView tabSelected="0" zoomScale="115" workbookViewId="0">
      <selection activeCell="A1" sqref="A1"/>
    </sheetView>
  </sheetViews>
  <sheetFormatPr baseColWidth="8" defaultRowHeight="15"/>
  <cols>
    <col width="12" customWidth="1" min="1" max="1"/>
    <col width="3" customWidth="1" min="2" max="2"/>
    <col width="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3" customWidth="1" min="10" max="10"/>
    <col width="36" customWidth="1" min="11" max="11"/>
    <col width="16" customWidth="1" min="12" max="12"/>
    <col width="30" customWidth="1" min="13" max="13"/>
  </cols>
  <sheetData>
    <row r="1" ht="30" customHeight="1">
      <c r="A1" s="27" t="inlineStr">
        <is>
          <t>A · Datos sueltos (una variable)</t>
        </is>
      </c>
      <c r="B1" s="12" t="n"/>
      <c r="C1" s="12" t="n"/>
      <c r="D1" s="12" t="n"/>
      <c r="E1" s="12" t="n"/>
      <c r="F1" s="12" t="n"/>
      <c r="G1" s="12" t="n"/>
      <c r="H1" s="12" t="n"/>
      <c r="J1" s="20" t="inlineStr">
        <is>
          <t>← Volver al inicio</t>
        </is>
      </c>
    </row>
    <row r="2">
      <c r="A2" s="2" t="inlineStr">
        <is>
          <t>Pega tus datos en la columna A (desde A7). Calcula tabla de frecuencias y todas las medidas.</t>
        </is>
      </c>
    </row>
    <row r="3">
      <c r="A3" s="28" t="inlineStr">
        <is>
          <t>Los valores de la tabla (columna D) salen solos si son números enteros seguidos (0, 1, 2…). Si no, bórralos y escribe tú los valores distintos.</t>
        </is>
      </c>
    </row>
    <row r="4">
      <c r="A4" s="29" t="inlineStr">
        <is>
          <t>Amarillo: escribe o pega aquí tus datos.  Verde: resultados (no los toques).</t>
        </is>
      </c>
      <c r="K4" s="30" t="inlineStr">
        <is>
          <t>Valor k para "cuántos más de k" →</t>
        </is>
      </c>
      <c r="L4" s="31" t="n">
        <v>2</v>
      </c>
    </row>
    <row r="5">
      <c r="K5" s="30" t="inlineStr">
        <is>
          <t>Percentil que quieres (en tanto por uno) →</t>
        </is>
      </c>
      <c r="L5" s="31" t="n">
        <v>0.9</v>
      </c>
    </row>
    <row r="6">
      <c r="A6" s="32" t="inlineStr">
        <is>
          <t>Datos</t>
        </is>
      </c>
      <c r="D6" s="21" t="inlineStr">
        <is>
          <t>xᵢ</t>
        </is>
      </c>
      <c r="E6" s="21" t="inlineStr">
        <is>
          <t>nᵢ</t>
        </is>
      </c>
      <c r="F6" s="21" t="inlineStr">
        <is>
          <t>fᵢ</t>
        </is>
      </c>
      <c r="G6" s="21" t="inlineStr">
        <is>
          <t>Nᵢ</t>
        </is>
      </c>
      <c r="H6" s="21" t="inlineStr">
        <is>
          <t>Fᵢ</t>
        </is>
      </c>
      <c r="I6" s="21" t="inlineStr">
        <is>
          <t>%</t>
        </is>
      </c>
    </row>
    <row r="7">
      <c r="A7" s="33" t="n"/>
      <c r="D7" s="31">
        <f>IF(COUNT($A$7:$A$506)=0,"",MIN($A$7:$A$506))</f>
        <v/>
      </c>
      <c r="E7" s="34">
        <f>IF(D7="","",COUNTIF($A$7:$A$506,D7))</f>
        <v/>
      </c>
      <c r="F7" s="35">
        <f>IF(D7="","",E7/COUNT($A$7:$A$506))</f>
        <v/>
      </c>
      <c r="G7" s="34">
        <f>IF(D7="","",SUM($E$7:E7))</f>
        <v/>
      </c>
      <c r="H7" s="35">
        <f>IF(D7="","",G7/COUNT($A$7:$A$506))</f>
        <v/>
      </c>
      <c r="I7" s="36">
        <f>IF(D7="","",F7*100)</f>
        <v/>
      </c>
      <c r="K7" s="32" t="inlineStr">
        <is>
          <t>n</t>
        </is>
      </c>
      <c r="L7" s="37">
        <f>IFERROR(COUNT($A$7:$A$506),"")</f>
        <v/>
      </c>
    </row>
    <row r="8">
      <c r="A8" s="33" t="n"/>
      <c r="D8" s="31">
        <f>IF(D7="","",IF(D7+1&gt;MAX($A$7:$A$506),"",D7+1))</f>
        <v/>
      </c>
      <c r="E8" s="34">
        <f>IF(D8="","",COUNTIF($A$7:$A$506,D8))</f>
        <v/>
      </c>
      <c r="F8" s="35">
        <f>IF(D8="","",E8/COUNT($A$7:$A$506))</f>
        <v/>
      </c>
      <c r="G8" s="34">
        <f>IF(D8="","",SUM($E$7:E8))</f>
        <v/>
      </c>
      <c r="H8" s="35">
        <f>IF(D8="","",G8/COUNT($A$7:$A$506))</f>
        <v/>
      </c>
      <c r="I8" s="36">
        <f>IF(D8="","",F8*100)</f>
        <v/>
      </c>
      <c r="K8" s="32" t="inlineStr">
        <is>
          <t>Media</t>
        </is>
      </c>
      <c r="L8" s="38">
        <f>IFERROR(AVERAGE($A$7:$A$506),"")</f>
        <v/>
      </c>
    </row>
    <row r="9">
      <c r="A9" s="33" t="n"/>
      <c r="D9" s="31">
        <f>IF(D8="","",IF(D8+1&gt;MAX($A$7:$A$506),"",D8+1))</f>
        <v/>
      </c>
      <c r="E9" s="34">
        <f>IF(D9="","",COUNTIF($A$7:$A$506,D9))</f>
        <v/>
      </c>
      <c r="F9" s="35">
        <f>IF(D9="","",E9/COUNT($A$7:$A$506))</f>
        <v/>
      </c>
      <c r="G9" s="34">
        <f>IF(D9="","",SUM($E$7:E9))</f>
        <v/>
      </c>
      <c r="H9" s="35">
        <f>IF(D9="","",G9/COUNT($A$7:$A$506))</f>
        <v/>
      </c>
      <c r="I9" s="36">
        <f>IF(D9="","",F9*100)</f>
        <v/>
      </c>
      <c r="K9" s="32" t="inlineStr">
        <is>
          <t>Mediana</t>
        </is>
      </c>
      <c r="L9" s="38">
        <f>IFERROR(MEDIAN($A$7:$A$506),"")</f>
        <v/>
      </c>
    </row>
    <row r="10">
      <c r="A10" s="33" t="n"/>
      <c r="D10" s="31">
        <f>IF(D9="","",IF(D9+1&gt;MAX($A$7:$A$506),"",D9+1))</f>
        <v/>
      </c>
      <c r="E10" s="34">
        <f>IF(D10="","",COUNTIF($A$7:$A$506,D10))</f>
        <v/>
      </c>
      <c r="F10" s="35">
        <f>IF(D10="","",E10/COUNT($A$7:$A$506))</f>
        <v/>
      </c>
      <c r="G10" s="34">
        <f>IF(D10="","",SUM($E$7:E10))</f>
        <v/>
      </c>
      <c r="H10" s="35">
        <f>IF(D10="","",G10/COUNT($A$7:$A$506))</f>
        <v/>
      </c>
      <c r="I10" s="36">
        <f>IF(D10="","",F10*100)</f>
        <v/>
      </c>
      <c r="K10" s="32" t="inlineStr">
        <is>
          <t>Moda</t>
        </is>
      </c>
      <c r="L10" s="38">
        <f>IFERROR(_xlfn.MODE.SNGL($A$7:$A$506),"")</f>
        <v/>
      </c>
    </row>
    <row r="11">
      <c r="A11" s="33" t="n"/>
      <c r="D11" s="31">
        <f>IF(D10="","",IF(D10+1&gt;MAX($A$7:$A$506),"",D10+1))</f>
        <v/>
      </c>
      <c r="E11" s="34">
        <f>IF(D11="","",COUNTIF($A$7:$A$506,D11))</f>
        <v/>
      </c>
      <c r="F11" s="35">
        <f>IF(D11="","",E11/COUNT($A$7:$A$506))</f>
        <v/>
      </c>
      <c r="G11" s="34">
        <f>IF(D11="","",SUM($E$7:E11))</f>
        <v/>
      </c>
      <c r="H11" s="35">
        <f>IF(D11="","",G11/COUNT($A$7:$A$506))</f>
        <v/>
      </c>
      <c r="I11" s="36">
        <f>IF(D11="","",F11*100)</f>
        <v/>
      </c>
      <c r="K11" s="32" t="inlineStr">
        <is>
          <t>Mínimo</t>
        </is>
      </c>
      <c r="L11" s="38">
        <f>IFERROR(MIN($A$7:$A$506),"")</f>
        <v/>
      </c>
    </row>
    <row r="12">
      <c r="A12" s="33" t="n"/>
      <c r="D12" s="31">
        <f>IF(D11="","",IF(D11+1&gt;MAX($A$7:$A$506),"",D11+1))</f>
        <v/>
      </c>
      <c r="E12" s="34">
        <f>IF(D12="","",COUNTIF($A$7:$A$506,D12))</f>
        <v/>
      </c>
      <c r="F12" s="35">
        <f>IF(D12="","",E12/COUNT($A$7:$A$506))</f>
        <v/>
      </c>
      <c r="G12" s="34">
        <f>IF(D12="","",SUM($E$7:E12))</f>
        <v/>
      </c>
      <c r="H12" s="35">
        <f>IF(D12="","",G12/COUNT($A$7:$A$506))</f>
        <v/>
      </c>
      <c r="I12" s="36">
        <f>IF(D12="","",F12*100)</f>
        <v/>
      </c>
      <c r="K12" s="32" t="inlineStr">
        <is>
          <t>Máximo</t>
        </is>
      </c>
      <c r="L12" s="38">
        <f>IFERROR(MAX($A$7:$A$506),"")</f>
        <v/>
      </c>
    </row>
    <row r="13">
      <c r="A13" s="33" t="n"/>
      <c r="D13" s="31">
        <f>IF(D12="","",IF(D12+1&gt;MAX($A$7:$A$506),"",D12+1))</f>
        <v/>
      </c>
      <c r="E13" s="34">
        <f>IF(D13="","",COUNTIF($A$7:$A$506,D13))</f>
        <v/>
      </c>
      <c r="F13" s="35">
        <f>IF(D13="","",E13/COUNT($A$7:$A$506))</f>
        <v/>
      </c>
      <c r="G13" s="34">
        <f>IF(D13="","",SUM($E$7:E13))</f>
        <v/>
      </c>
      <c r="H13" s="35">
        <f>IF(D13="","",G13/COUNT($A$7:$A$506))</f>
        <v/>
      </c>
      <c r="I13" s="36">
        <f>IF(D13="","",F13*100)</f>
        <v/>
      </c>
      <c r="K13" s="32" t="inlineStr">
        <is>
          <t>Rango</t>
        </is>
      </c>
      <c r="L13" s="38">
        <f>IFERROR(MAX($A$7:$A$506)-MIN($A$7:$A$506),"")</f>
        <v/>
      </c>
    </row>
    <row r="14">
      <c r="A14" s="33" t="n"/>
      <c r="D14" s="31">
        <f>IF(D13="","",IF(D13+1&gt;MAX($A$7:$A$506),"",D13+1))</f>
        <v/>
      </c>
      <c r="E14" s="34">
        <f>IF(D14="","",COUNTIF($A$7:$A$506,D14))</f>
        <v/>
      </c>
      <c r="F14" s="35">
        <f>IF(D14="","",E14/COUNT($A$7:$A$506))</f>
        <v/>
      </c>
      <c r="G14" s="34">
        <f>IF(D14="","",SUM($E$7:E14))</f>
        <v/>
      </c>
      <c r="H14" s="35">
        <f>IF(D14="","",G14/COUNT($A$7:$A$506))</f>
        <v/>
      </c>
      <c r="I14" s="36">
        <f>IF(D14="","",F14*100)</f>
        <v/>
      </c>
      <c r="K14" s="32" t="inlineStr">
        <is>
          <t>C₁ (CUARTIL.INC)</t>
        </is>
      </c>
      <c r="L14" s="38">
        <f>IFERROR(_xlfn.QUARTILE.INC($A$7:$A$506,1),"")</f>
        <v/>
      </c>
    </row>
    <row r="15">
      <c r="A15" s="33" t="n"/>
      <c r="D15" s="31">
        <f>IF(D14="","",IF(D14+1&gt;MAX($A$7:$A$506),"",D14+1))</f>
        <v/>
      </c>
      <c r="E15" s="34">
        <f>IF(D15="","",COUNTIF($A$7:$A$506,D15))</f>
        <v/>
      </c>
      <c r="F15" s="35">
        <f>IF(D15="","",E15/COUNT($A$7:$A$506))</f>
        <v/>
      </c>
      <c r="G15" s="34">
        <f>IF(D15="","",SUM($E$7:E15))</f>
        <v/>
      </c>
      <c r="H15" s="35">
        <f>IF(D15="","",G15/COUNT($A$7:$A$506))</f>
        <v/>
      </c>
      <c r="I15" s="36">
        <f>IF(D15="","",F15*100)</f>
        <v/>
      </c>
      <c r="K15" s="32" t="inlineStr">
        <is>
          <t>C₃ (CUARTIL.INC)</t>
        </is>
      </c>
      <c r="L15" s="38">
        <f>IFERROR(_xlfn.QUARTILE.INC($A$7:$A$506,3),"")</f>
        <v/>
      </c>
    </row>
    <row r="16">
      <c r="A16" s="33" t="n"/>
      <c r="D16" s="31">
        <f>IF(D15="","",IF(D15+1&gt;MAX($A$7:$A$506),"",D15+1))</f>
        <v/>
      </c>
      <c r="E16" s="34">
        <f>IF(D16="","",COUNTIF($A$7:$A$506,D16))</f>
        <v/>
      </c>
      <c r="F16" s="35">
        <f>IF(D16="","",E16/COUNT($A$7:$A$506))</f>
        <v/>
      </c>
      <c r="G16" s="34">
        <f>IF(D16="","",SUM($E$7:E16))</f>
        <v/>
      </c>
      <c r="H16" s="35">
        <f>IF(D16="","",G16/COUNT($A$7:$A$506))</f>
        <v/>
      </c>
      <c r="I16" s="36">
        <f>IF(D16="","",F16*100)</f>
        <v/>
      </c>
      <c r="K16" s="32" t="inlineStr">
        <is>
          <t>IQR = C₃ − C₁</t>
        </is>
      </c>
      <c r="L16" s="38">
        <f>IFERROR(L15-L14,"")</f>
        <v/>
      </c>
    </row>
    <row r="17">
      <c r="A17" s="33" t="n"/>
      <c r="D17" s="31">
        <f>IF(D16="","",IF(D16+1&gt;MAX($A$7:$A$506),"",D16+1))</f>
        <v/>
      </c>
      <c r="E17" s="34">
        <f>IF(D17="","",COUNTIF($A$7:$A$506,D17))</f>
        <v/>
      </c>
      <c r="F17" s="35">
        <f>IF(D17="","",E17/COUNT($A$7:$A$506))</f>
        <v/>
      </c>
      <c r="G17" s="34">
        <f>IF(D17="","",SUM($E$7:E17))</f>
        <v/>
      </c>
      <c r="H17" s="35">
        <f>IF(D17="","",G17/COUNT($A$7:$A$506))</f>
        <v/>
      </c>
      <c r="I17" s="36">
        <f>IF(D17="","",F17*100)</f>
        <v/>
      </c>
      <c r="K17" s="32" t="inlineStr">
        <is>
          <t>Percentil elegido (celda L5)</t>
        </is>
      </c>
      <c r="L17" s="38">
        <f>IFERROR(_xlfn.PERCENTILE.INC($A$7:$A$506,L5),"")</f>
        <v/>
      </c>
    </row>
    <row r="18">
      <c r="A18" s="33" t="n"/>
      <c r="D18" s="31">
        <f>IF(D17="","",IF(D17+1&gt;MAX($A$7:$A$506),"",D17+1))</f>
        <v/>
      </c>
      <c r="E18" s="34">
        <f>IF(D18="","",COUNTIF($A$7:$A$506,D18))</f>
        <v/>
      </c>
      <c r="F18" s="35">
        <f>IF(D18="","",E18/COUNT($A$7:$A$506))</f>
        <v/>
      </c>
      <c r="G18" s="34">
        <f>IF(D18="","",SUM($E$7:E18))</f>
        <v/>
      </c>
      <c r="H18" s="35">
        <f>IF(D18="","",G18/COUNT($A$7:$A$506))</f>
        <v/>
      </c>
      <c r="I18" s="36">
        <f>IF(D18="","",F18*100)</f>
        <v/>
      </c>
      <c r="K18" s="32" t="inlineStr">
        <is>
          <t>Varianza S² (VAR.P)</t>
        </is>
      </c>
      <c r="L18" s="38">
        <f>IFERROR(_xlfn.VAR.P($A$7:$A$506),"")</f>
        <v/>
      </c>
    </row>
    <row r="19">
      <c r="A19" s="33" t="n"/>
      <c r="D19" s="31">
        <f>IF(D18="","",IF(D18+1&gt;MAX($A$7:$A$506),"",D18+1))</f>
        <v/>
      </c>
      <c r="E19" s="34">
        <f>IF(D19="","",COUNTIF($A$7:$A$506,D19))</f>
        <v/>
      </c>
      <c r="F19" s="35">
        <f>IF(D19="","",E19/COUNT($A$7:$A$506))</f>
        <v/>
      </c>
      <c r="G19" s="34">
        <f>IF(D19="","",SUM($E$7:E19))</f>
        <v/>
      </c>
      <c r="H19" s="35">
        <f>IF(D19="","",G19/COUNT($A$7:$A$506))</f>
        <v/>
      </c>
      <c r="I19" s="36">
        <f>IF(D19="","",F19*100)</f>
        <v/>
      </c>
      <c r="K19" s="32" t="inlineStr">
        <is>
          <t>Cuasivarianza s² (VAR.S)</t>
        </is>
      </c>
      <c r="L19" s="38">
        <f>IFERROR(_xlfn.VAR.S($A$7:$A$506),"")</f>
        <v/>
      </c>
    </row>
    <row r="20">
      <c r="A20" s="33" t="n"/>
      <c r="D20" s="31">
        <f>IF(D19="","",IF(D19+1&gt;MAX($A$7:$A$506),"",D19+1))</f>
        <v/>
      </c>
      <c r="E20" s="34">
        <f>IF(D20="","",COUNTIF($A$7:$A$506,D20))</f>
        <v/>
      </c>
      <c r="F20" s="35">
        <f>IF(D20="","",E20/COUNT($A$7:$A$506))</f>
        <v/>
      </c>
      <c r="G20" s="34">
        <f>IF(D20="","",SUM($E$7:E20))</f>
        <v/>
      </c>
      <c r="H20" s="35">
        <f>IF(D20="","",G20/COUNT($A$7:$A$506))</f>
        <v/>
      </c>
      <c r="I20" s="36">
        <f>IF(D20="","",F20*100)</f>
        <v/>
      </c>
      <c r="K20" s="32" t="inlineStr">
        <is>
          <t>Desviación típica S</t>
        </is>
      </c>
      <c r="L20" s="38">
        <f>IFERROR(_xlfn.STDEV.P($A$7:$A$506),"")</f>
        <v/>
      </c>
    </row>
    <row r="21">
      <c r="A21" s="33" t="n"/>
      <c r="D21" s="31">
        <f>IF(D20="","",IF(D20+1&gt;MAX($A$7:$A$506),"",D20+1))</f>
        <v/>
      </c>
      <c r="E21" s="34">
        <f>IF(D21="","",COUNTIF($A$7:$A$506,D21))</f>
        <v/>
      </c>
      <c r="F21" s="35">
        <f>IF(D21="","",E21/COUNT($A$7:$A$506))</f>
        <v/>
      </c>
      <c r="G21" s="34">
        <f>IF(D21="","",SUM($E$7:E21))</f>
        <v/>
      </c>
      <c r="H21" s="35">
        <f>IF(D21="","",G21/COUNT($A$7:$A$506))</f>
        <v/>
      </c>
      <c r="I21" s="36">
        <f>IF(D21="","",F21*100)</f>
        <v/>
      </c>
      <c r="K21" s="32" t="inlineStr">
        <is>
          <t>Cuasidesviación s</t>
        </is>
      </c>
      <c r="L21" s="38">
        <f>IFERROR(_xlfn.STDEV.S($A$7:$A$506),"")</f>
        <v/>
      </c>
    </row>
    <row r="22">
      <c r="A22" s="33" t="n"/>
      <c r="D22" s="31">
        <f>IF(D21="","",IF(D21+1&gt;MAX($A$7:$A$506),"",D21+1))</f>
        <v/>
      </c>
      <c r="E22" s="34">
        <f>IF(D22="","",COUNTIF($A$7:$A$506,D22))</f>
        <v/>
      </c>
      <c r="F22" s="35">
        <f>IF(D22="","",E22/COUNT($A$7:$A$506))</f>
        <v/>
      </c>
      <c r="G22" s="34">
        <f>IF(D22="","",SUM($E$7:E22))</f>
        <v/>
      </c>
      <c r="H22" s="35">
        <f>IF(D22="","",G22/COUNT($A$7:$A$506))</f>
        <v/>
      </c>
      <c r="I22" s="36">
        <f>IF(D22="","",F22*100)</f>
        <v/>
      </c>
      <c r="K22" s="32" t="inlineStr">
        <is>
          <t>Coeficiente de variación</t>
        </is>
      </c>
      <c r="L22" s="38">
        <f>IFERROR(_xlfn.STDEV.P($A$7:$A$506)/AVERAGE($A$7:$A$506),"")</f>
        <v/>
      </c>
    </row>
    <row r="23">
      <c r="A23" s="33" t="n"/>
      <c r="D23" s="31">
        <f>IF(D22="","",IF(D22+1&gt;MAX($A$7:$A$506),"",D22+1))</f>
        <v/>
      </c>
      <c r="E23" s="34">
        <f>IF(D23="","",COUNTIF($A$7:$A$506,D23))</f>
        <v/>
      </c>
      <c r="F23" s="35">
        <f>IF(D23="","",E23/COUNT($A$7:$A$506))</f>
        <v/>
      </c>
      <c r="G23" s="34">
        <f>IF(D23="","",SUM($E$7:E23))</f>
        <v/>
      </c>
      <c r="H23" s="35">
        <f>IF(D23="","",G23/COUNT($A$7:$A$506))</f>
        <v/>
      </c>
      <c r="I23" s="36">
        <f>IF(D23="","",F23*100)</f>
        <v/>
      </c>
      <c r="K23" s="32" t="inlineStr">
        <is>
          <t>Asimetría (signo)</t>
        </is>
      </c>
      <c r="L23" s="38">
        <f>IFERROR(_xlfn.SKEW.P($A$7:$A$506),"")</f>
        <v/>
      </c>
    </row>
    <row r="24">
      <c r="A24" s="33" t="n"/>
      <c r="D24" s="31">
        <f>IF(D23="","",IF(D23+1&gt;MAX($A$7:$A$506),"",D23+1))</f>
        <v/>
      </c>
      <c r="E24" s="34">
        <f>IF(D24="","",COUNTIF($A$7:$A$506,D24))</f>
        <v/>
      </c>
      <c r="F24" s="35">
        <f>IF(D24="","",E24/COUNT($A$7:$A$506))</f>
        <v/>
      </c>
      <c r="G24" s="34">
        <f>IF(D24="","",SUM($E$7:E24))</f>
        <v/>
      </c>
      <c r="H24" s="35">
        <f>IF(D24="","",G24/COUNT($A$7:$A$506))</f>
        <v/>
      </c>
      <c r="I24" s="36">
        <f>IF(D24="","",F24*100)</f>
        <v/>
      </c>
      <c r="K24" s="32" t="inlineStr">
        <is>
          <t>Curtosis (signo)</t>
        </is>
      </c>
      <c r="L24" s="38">
        <f>IFERROR(KURT($A$7:$A$506),"")</f>
        <v/>
      </c>
    </row>
    <row r="25">
      <c r="A25" s="33" t="n"/>
      <c r="D25" s="31">
        <f>IF(D24="","",IF(D24+1&gt;MAX($A$7:$A$506),"",D24+1))</f>
        <v/>
      </c>
      <c r="E25" s="34">
        <f>IF(D25="","",COUNTIF($A$7:$A$506,D25))</f>
        <v/>
      </c>
      <c r="F25" s="35">
        <f>IF(D25="","",E25/COUNT($A$7:$A$506))</f>
        <v/>
      </c>
      <c r="G25" s="34">
        <f>IF(D25="","",SUM($E$7:E25))</f>
        <v/>
      </c>
      <c r="H25" s="35">
        <f>IF(D25="","",G25/COUNT($A$7:$A$506))</f>
        <v/>
      </c>
      <c r="I25" s="36">
        <f>IF(D25="","",F25*100)</f>
        <v/>
      </c>
      <c r="K25" s="32" t="inlineStr">
        <is>
          <t>Límite inferior atípicos</t>
        </is>
      </c>
      <c r="L25" s="38">
        <f>IFERROR(L14-1.5*L16,"")</f>
        <v/>
      </c>
    </row>
    <row r="26">
      <c r="A26" s="33" t="n"/>
      <c r="D26" s="31">
        <f>IF(D25="","",IF(D25+1&gt;MAX($A$7:$A$506),"",D25+1))</f>
        <v/>
      </c>
      <c r="E26" s="34">
        <f>IF(D26="","",COUNTIF($A$7:$A$506,D26))</f>
        <v/>
      </c>
      <c r="F26" s="35">
        <f>IF(D26="","",E26/COUNT($A$7:$A$506))</f>
        <v/>
      </c>
      <c r="G26" s="34">
        <f>IF(D26="","",SUM($E$7:E26))</f>
        <v/>
      </c>
      <c r="H26" s="35">
        <f>IF(D26="","",G26/COUNT($A$7:$A$506))</f>
        <v/>
      </c>
      <c r="I26" s="36">
        <f>IF(D26="","",F26*100)</f>
        <v/>
      </c>
      <c r="K26" s="32" t="inlineStr">
        <is>
          <t>Límite superior atípicos</t>
        </is>
      </c>
      <c r="L26" s="38">
        <f>IFERROR(L15+1.5*L16,"")</f>
        <v/>
      </c>
    </row>
    <row r="27">
      <c r="A27" s="33" t="n"/>
      <c r="D27" s="31">
        <f>IF(D26="","",IF(D26+1&gt;MAX($A$7:$A$506),"",D26+1))</f>
        <v/>
      </c>
      <c r="E27" s="34">
        <f>IF(D27="","",COUNTIF($A$7:$A$506,D27))</f>
        <v/>
      </c>
      <c r="F27" s="35">
        <f>IF(D27="","",E27/COUNT($A$7:$A$506))</f>
        <v/>
      </c>
      <c r="G27" s="34">
        <f>IF(D27="","",SUM($E$7:E27))</f>
        <v/>
      </c>
      <c r="H27" s="35">
        <f>IF(D27="","",G27/COUNT($A$7:$A$506))</f>
        <v/>
      </c>
      <c r="I27" s="36">
        <f>IF(D27="","",F27*100)</f>
        <v/>
      </c>
      <c r="K27" s="32" t="inlineStr">
        <is>
          <t>Nº de datos atípicos</t>
        </is>
      </c>
      <c r="L27" s="37">
        <f>IFERROR(COUNTIF($A$7:$A$506,"&lt;"&amp;L25)+COUNTIF($A$7:$A$506,"&gt;"&amp;L26),"")</f>
        <v/>
      </c>
    </row>
    <row r="28">
      <c r="A28" s="33" t="n"/>
      <c r="D28" s="31">
        <f>IF(D27="","",IF(D27+1&gt;MAX($A$7:$A$506),"",D27+1))</f>
        <v/>
      </c>
      <c r="E28" s="34">
        <f>IF(D28="","",COUNTIF($A$7:$A$506,D28))</f>
        <v/>
      </c>
      <c r="F28" s="35">
        <f>IF(D28="","",E28/COUNT($A$7:$A$506))</f>
        <v/>
      </c>
      <c r="G28" s="34">
        <f>IF(D28="","",SUM($E$7:E28))</f>
        <v/>
      </c>
      <c r="H28" s="35">
        <f>IF(D28="","",G28/COUNT($A$7:$A$506))</f>
        <v/>
      </c>
      <c r="I28" s="36">
        <f>IF(D28="","",F28*100)</f>
        <v/>
      </c>
      <c r="K28" s="32" t="inlineStr">
        <is>
          <t>Cuántos son MÁS de k (L4)</t>
        </is>
      </c>
      <c r="L28" s="37">
        <f>IFERROR(COUNTIF($A$7:$A$506,"&gt;"&amp;L4),"")</f>
        <v/>
      </c>
    </row>
    <row r="29">
      <c r="A29" s="33" t="n"/>
      <c r="D29" s="31">
        <f>IF(D28="","",IF(D28+1&gt;MAX($A$7:$A$506),"",D28+1))</f>
        <v/>
      </c>
      <c r="E29" s="34">
        <f>IF(D29="","",COUNTIF($A$7:$A$506,D29))</f>
        <v/>
      </c>
      <c r="F29" s="35">
        <f>IF(D29="","",E29/COUNT($A$7:$A$506))</f>
        <v/>
      </c>
      <c r="G29" s="34">
        <f>IF(D29="","",SUM($E$7:E29))</f>
        <v/>
      </c>
      <c r="H29" s="35">
        <f>IF(D29="","",G29/COUNT($A$7:$A$506))</f>
        <v/>
      </c>
      <c r="I29" s="36">
        <f>IF(D29="","",F29*100)</f>
        <v/>
      </c>
      <c r="K29" s="32" t="inlineStr">
        <is>
          <t>Cuántos son k O MÁS</t>
        </is>
      </c>
      <c r="L29" s="37">
        <f>IFERROR(COUNTIF($A$7:$A$506,"&gt;="&amp;L4),"")</f>
        <v/>
      </c>
    </row>
    <row r="30">
      <c r="A30" s="33" t="n"/>
      <c r="D30" s="31">
        <f>IF(D29="","",IF(D29+1&gt;MAX($A$7:$A$506),"",D29+1))</f>
        <v/>
      </c>
      <c r="E30" s="34">
        <f>IF(D30="","",COUNTIF($A$7:$A$506,D30))</f>
        <v/>
      </c>
      <c r="F30" s="35">
        <f>IF(D30="","",E30/COUNT($A$7:$A$506))</f>
        <v/>
      </c>
      <c r="G30" s="34">
        <f>IF(D30="","",SUM($E$7:E30))</f>
        <v/>
      </c>
      <c r="H30" s="35">
        <f>IF(D30="","",G30/COUNT($A$7:$A$506))</f>
        <v/>
      </c>
      <c r="I30" s="36">
        <f>IF(D30="","",F30*100)</f>
        <v/>
      </c>
      <c r="K30" s="32" t="inlineStr">
        <is>
          <t>Proporción con más de k</t>
        </is>
      </c>
      <c r="L30" s="38">
        <f>IFERROR(COUNTIF($A$7:$A$506,"&gt;"&amp;L4)/COUNT($A$7:$A$506),"")</f>
        <v/>
      </c>
    </row>
    <row r="31">
      <c r="A31" s="33" t="n"/>
      <c r="D31" s="31">
        <f>IF(D30="","",IF(D30+1&gt;MAX($A$7:$A$506),"",D30+1))</f>
        <v/>
      </c>
      <c r="E31" s="34">
        <f>IF(D31="","",COUNTIF($A$7:$A$506,D31))</f>
        <v/>
      </c>
      <c r="F31" s="35">
        <f>IF(D31="","",E31/COUNT($A$7:$A$506))</f>
        <v/>
      </c>
      <c r="G31" s="34">
        <f>IF(D31="","",SUM($E$7:E31))</f>
        <v/>
      </c>
      <c r="H31" s="35">
        <f>IF(D31="","",G31/COUNT($A$7:$A$506))</f>
        <v/>
      </c>
      <c r="I31" s="36">
        <f>IF(D31="","",F31*100)</f>
        <v/>
      </c>
    </row>
    <row r="32">
      <c r="A32" s="33" t="n"/>
      <c r="D32" s="31">
        <f>IF(D31="","",IF(D31+1&gt;MAX($A$7:$A$506),"",D31+1))</f>
        <v/>
      </c>
      <c r="E32" s="34">
        <f>IF(D32="","",COUNTIF($A$7:$A$506,D32))</f>
        <v/>
      </c>
      <c r="F32" s="35">
        <f>IF(D32="","",E32/COUNT($A$7:$A$506))</f>
        <v/>
      </c>
      <c r="G32" s="34">
        <f>IF(D32="","",SUM($E$7:E32))</f>
        <v/>
      </c>
      <c r="H32" s="35">
        <f>IF(D32="","",G32/COUNT($A$7:$A$506))</f>
        <v/>
      </c>
      <c r="I32" s="36">
        <f>IF(D32="","",F32*100)</f>
        <v/>
      </c>
      <c r="K32" s="39" t="inlineStr">
        <is>
          <t>Los cuartiles con la receta de clase (tabla) están en la plantilla B.</t>
        </is>
      </c>
    </row>
    <row r="33">
      <c r="A33" s="33" t="n"/>
      <c r="D33" s="31">
        <f>IF(D32="","",IF(D32+1&gt;MAX($A$7:$A$506),"",D32+1))</f>
        <v/>
      </c>
      <c r="E33" s="34">
        <f>IF(D33="","",COUNTIF($A$7:$A$506,D33))</f>
        <v/>
      </c>
      <c r="F33" s="35">
        <f>IF(D33="","",E33/COUNT($A$7:$A$506))</f>
        <v/>
      </c>
      <c r="G33" s="34">
        <f>IF(D33="","",SUM($E$7:E33))</f>
        <v/>
      </c>
      <c r="H33" s="35">
        <f>IF(D33="","",G33/COUNT($A$7:$A$506))</f>
        <v/>
      </c>
      <c r="I33" s="36">
        <f>IF(D33="","",F33*100)</f>
        <v/>
      </c>
    </row>
    <row r="34">
      <c r="A34" s="33" t="n"/>
      <c r="D34" s="31">
        <f>IF(D33="","",IF(D33+1&gt;MAX($A$7:$A$506),"",D33+1))</f>
        <v/>
      </c>
      <c r="E34" s="34">
        <f>IF(D34="","",COUNTIF($A$7:$A$506,D34))</f>
        <v/>
      </c>
      <c r="F34" s="35">
        <f>IF(D34="","",E34/COUNT($A$7:$A$506))</f>
        <v/>
      </c>
      <c r="G34" s="34">
        <f>IF(D34="","",SUM($E$7:E34))</f>
        <v/>
      </c>
      <c r="H34" s="35">
        <f>IF(D34="","",G34/COUNT($A$7:$A$506))</f>
        <v/>
      </c>
      <c r="I34" s="36">
        <f>IF(D34="","",F34*100)</f>
        <v/>
      </c>
    </row>
    <row r="35">
      <c r="A35" s="33" t="n"/>
      <c r="D35" s="31">
        <f>IF(D34="","",IF(D34+1&gt;MAX($A$7:$A$506),"",D34+1))</f>
        <v/>
      </c>
      <c r="E35" s="34">
        <f>IF(D35="","",COUNTIF($A$7:$A$506,D35))</f>
        <v/>
      </c>
      <c r="F35" s="35">
        <f>IF(D35="","",E35/COUNT($A$7:$A$506))</f>
        <v/>
      </c>
      <c r="G35" s="34">
        <f>IF(D35="","",SUM($E$7:E35))</f>
        <v/>
      </c>
      <c r="H35" s="35">
        <f>IF(D35="","",G35/COUNT($A$7:$A$506))</f>
        <v/>
      </c>
      <c r="I35" s="36">
        <f>IF(D35="","",F35*100)</f>
        <v/>
      </c>
    </row>
    <row r="36">
      <c r="A36" s="33" t="n"/>
      <c r="D36" s="31">
        <f>IF(D35="","",IF(D35+1&gt;MAX($A$7:$A$506),"",D35+1))</f>
        <v/>
      </c>
      <c r="E36" s="34">
        <f>IF(D36="","",COUNTIF($A$7:$A$506,D36))</f>
        <v/>
      </c>
      <c r="F36" s="35">
        <f>IF(D36="","",E36/COUNT($A$7:$A$506))</f>
        <v/>
      </c>
      <c r="G36" s="34">
        <f>IF(D36="","",SUM($E$7:E36))</f>
        <v/>
      </c>
      <c r="H36" s="35">
        <f>IF(D36="","",G36/COUNT($A$7:$A$506))</f>
        <v/>
      </c>
      <c r="I36" s="36">
        <f>IF(D36="","",F36*100)</f>
        <v/>
      </c>
    </row>
    <row r="37">
      <c r="A37" s="33" t="n"/>
      <c r="D37" s="31">
        <f>IF(D36="","",IF(D36+1&gt;MAX($A$7:$A$506),"",D36+1))</f>
        <v/>
      </c>
      <c r="E37" s="34">
        <f>IF(D37="","",COUNTIF($A$7:$A$506,D37))</f>
        <v/>
      </c>
      <c r="F37" s="35">
        <f>IF(D37="","",E37/COUNT($A$7:$A$506))</f>
        <v/>
      </c>
      <c r="G37" s="34">
        <f>IF(D37="","",SUM($E$7:E37))</f>
        <v/>
      </c>
      <c r="H37" s="35">
        <f>IF(D37="","",G37/COUNT($A$7:$A$506))</f>
        <v/>
      </c>
      <c r="I37" s="36">
        <f>IF(D37="","",F37*100)</f>
        <v/>
      </c>
    </row>
    <row r="38">
      <c r="A38" s="33" t="n"/>
      <c r="D38" s="31">
        <f>IF(D37="","",IF(D37+1&gt;MAX($A$7:$A$506),"",D37+1))</f>
        <v/>
      </c>
      <c r="E38" s="34">
        <f>IF(D38="","",COUNTIF($A$7:$A$506,D38))</f>
        <v/>
      </c>
      <c r="F38" s="35">
        <f>IF(D38="","",E38/COUNT($A$7:$A$506))</f>
        <v/>
      </c>
      <c r="G38" s="34">
        <f>IF(D38="","",SUM($E$7:E38))</f>
        <v/>
      </c>
      <c r="H38" s="35">
        <f>IF(D38="","",G38/COUNT($A$7:$A$506))</f>
        <v/>
      </c>
      <c r="I38" s="36">
        <f>IF(D38="","",F38*100)</f>
        <v/>
      </c>
    </row>
    <row r="39">
      <c r="A39" s="33" t="n"/>
      <c r="D39" s="31">
        <f>IF(D38="","",IF(D38+1&gt;MAX($A$7:$A$506),"",D38+1))</f>
        <v/>
      </c>
      <c r="E39" s="34">
        <f>IF(D39="","",COUNTIF($A$7:$A$506,D39))</f>
        <v/>
      </c>
      <c r="F39" s="35">
        <f>IF(D39="","",E39/COUNT($A$7:$A$506))</f>
        <v/>
      </c>
      <c r="G39" s="34">
        <f>IF(D39="","",SUM($E$7:E39))</f>
        <v/>
      </c>
      <c r="H39" s="35">
        <f>IF(D39="","",G39/COUNT($A$7:$A$506))</f>
        <v/>
      </c>
      <c r="I39" s="36">
        <f>IF(D39="","",F39*100)</f>
        <v/>
      </c>
    </row>
    <row r="40">
      <c r="A40" s="33" t="n"/>
      <c r="D40" s="31">
        <f>IF(D39="","",IF(D39+1&gt;MAX($A$7:$A$506),"",D39+1))</f>
        <v/>
      </c>
      <c r="E40" s="34">
        <f>IF(D40="","",COUNTIF($A$7:$A$506,D40))</f>
        <v/>
      </c>
      <c r="F40" s="35">
        <f>IF(D40="","",E40/COUNT($A$7:$A$506))</f>
        <v/>
      </c>
      <c r="G40" s="34">
        <f>IF(D40="","",SUM($E$7:E40))</f>
        <v/>
      </c>
      <c r="H40" s="35">
        <f>IF(D40="","",G40/COUNT($A$7:$A$506))</f>
        <v/>
      </c>
      <c r="I40" s="36">
        <f>IF(D40="","",F40*100)</f>
        <v/>
      </c>
    </row>
    <row r="41">
      <c r="A41" s="33" t="n"/>
      <c r="D41" s="31">
        <f>IF(D40="","",IF(D40+1&gt;MAX($A$7:$A$506),"",D40+1))</f>
        <v/>
      </c>
      <c r="E41" s="34">
        <f>IF(D41="","",COUNTIF($A$7:$A$506,D41))</f>
        <v/>
      </c>
      <c r="F41" s="35">
        <f>IF(D41="","",E41/COUNT($A$7:$A$506))</f>
        <v/>
      </c>
      <c r="G41" s="34">
        <f>IF(D41="","",SUM($E$7:E41))</f>
        <v/>
      </c>
      <c r="H41" s="35">
        <f>IF(D41="","",G41/COUNT($A$7:$A$506))</f>
        <v/>
      </c>
      <c r="I41" s="36">
        <f>IF(D41="","",F41*100)</f>
        <v/>
      </c>
    </row>
    <row r="42">
      <c r="A42" s="33" t="n"/>
      <c r="D42" s="31">
        <f>IF(D41="","",IF(D41+1&gt;MAX($A$7:$A$506),"",D41+1))</f>
        <v/>
      </c>
      <c r="E42" s="34">
        <f>IF(D42="","",COUNTIF($A$7:$A$506,D42))</f>
        <v/>
      </c>
      <c r="F42" s="35">
        <f>IF(D42="","",E42/COUNT($A$7:$A$506))</f>
        <v/>
      </c>
      <c r="G42" s="34">
        <f>IF(D42="","",SUM($E$7:E42))</f>
        <v/>
      </c>
      <c r="H42" s="35">
        <f>IF(D42="","",G42/COUNT($A$7:$A$506))</f>
        <v/>
      </c>
      <c r="I42" s="36">
        <f>IF(D42="","",F42*100)</f>
        <v/>
      </c>
    </row>
    <row r="43">
      <c r="A43" s="33" t="n"/>
      <c r="D43" s="31">
        <f>IF(D42="","",IF(D42+1&gt;MAX($A$7:$A$506),"",D42+1))</f>
        <v/>
      </c>
      <c r="E43" s="34">
        <f>IF(D43="","",COUNTIF($A$7:$A$506,D43))</f>
        <v/>
      </c>
      <c r="F43" s="35">
        <f>IF(D43="","",E43/COUNT($A$7:$A$506))</f>
        <v/>
      </c>
      <c r="G43" s="34">
        <f>IF(D43="","",SUM($E$7:E43))</f>
        <v/>
      </c>
      <c r="H43" s="35">
        <f>IF(D43="","",G43/COUNT($A$7:$A$506))</f>
        <v/>
      </c>
      <c r="I43" s="36">
        <f>IF(D43="","",F43*100)</f>
        <v/>
      </c>
    </row>
    <row r="44">
      <c r="A44" s="33" t="n"/>
      <c r="D44" s="31">
        <f>IF(D43="","",IF(D43+1&gt;MAX($A$7:$A$506),"",D43+1))</f>
        <v/>
      </c>
      <c r="E44" s="34">
        <f>IF(D44="","",COUNTIF($A$7:$A$506,D44))</f>
        <v/>
      </c>
      <c r="F44" s="35">
        <f>IF(D44="","",E44/COUNT($A$7:$A$506))</f>
        <v/>
      </c>
      <c r="G44" s="34">
        <f>IF(D44="","",SUM($E$7:E44))</f>
        <v/>
      </c>
      <c r="H44" s="35">
        <f>IF(D44="","",G44/COUNT($A$7:$A$506))</f>
        <v/>
      </c>
      <c r="I44" s="36">
        <f>IF(D44="","",F44*100)</f>
        <v/>
      </c>
    </row>
    <row r="45">
      <c r="A45" s="33" t="n"/>
      <c r="D45" s="31">
        <f>IF(D44="","",IF(D44+1&gt;MAX($A$7:$A$506),"",D44+1))</f>
        <v/>
      </c>
      <c r="E45" s="34">
        <f>IF(D45="","",COUNTIF($A$7:$A$506,D45))</f>
        <v/>
      </c>
      <c r="F45" s="35">
        <f>IF(D45="","",E45/COUNT($A$7:$A$506))</f>
        <v/>
      </c>
      <c r="G45" s="34">
        <f>IF(D45="","",SUM($E$7:E45))</f>
        <v/>
      </c>
      <c r="H45" s="35">
        <f>IF(D45="","",G45/COUNT($A$7:$A$506))</f>
        <v/>
      </c>
      <c r="I45" s="36">
        <f>IF(D45="","",F45*100)</f>
        <v/>
      </c>
    </row>
    <row r="46">
      <c r="A46" s="33" t="n"/>
      <c r="D46" s="31">
        <f>IF(D45="","",IF(D45+1&gt;MAX($A$7:$A$506),"",D45+1))</f>
        <v/>
      </c>
      <c r="E46" s="34">
        <f>IF(D46="","",COUNTIF($A$7:$A$506,D46))</f>
        <v/>
      </c>
      <c r="F46" s="35">
        <f>IF(D46="","",E46/COUNT($A$7:$A$506))</f>
        <v/>
      </c>
      <c r="G46" s="34">
        <f>IF(D46="","",SUM($E$7:E46))</f>
        <v/>
      </c>
      <c r="H46" s="35">
        <f>IF(D46="","",G46/COUNT($A$7:$A$506))</f>
        <v/>
      </c>
      <c r="I46" s="36">
        <f>IF(D46="","",F46*100)</f>
        <v/>
      </c>
    </row>
    <row r="47">
      <c r="A47" s="33" t="n"/>
    </row>
    <row r="48">
      <c r="A48" s="33" t="n"/>
    </row>
    <row r="49">
      <c r="A49" s="33" t="n"/>
    </row>
    <row r="50">
      <c r="A50" s="33" t="n"/>
    </row>
    <row r="51">
      <c r="A51" s="33" t="n"/>
    </row>
    <row r="52">
      <c r="A52" s="33" t="n"/>
    </row>
    <row r="53">
      <c r="A53" s="33" t="n"/>
    </row>
    <row r="54">
      <c r="A54" s="33" t="n"/>
    </row>
    <row r="55">
      <c r="A55" s="33" t="n"/>
    </row>
    <row r="56">
      <c r="A56" s="33" t="n"/>
    </row>
    <row r="57">
      <c r="A57" s="33" t="n"/>
    </row>
    <row r="58">
      <c r="A58" s="33" t="n"/>
    </row>
    <row r="59">
      <c r="A59" s="33" t="n"/>
    </row>
    <row r="60">
      <c r="A60" s="33" t="n"/>
    </row>
    <row r="61">
      <c r="A61" s="33" t="n"/>
    </row>
    <row r="62">
      <c r="A62" s="33" t="n"/>
    </row>
    <row r="63">
      <c r="A63" s="33" t="n"/>
    </row>
    <row r="64">
      <c r="A64" s="33" t="n"/>
    </row>
    <row r="65">
      <c r="A65" s="33" t="n"/>
    </row>
    <row r="66">
      <c r="A66" s="33" t="n"/>
    </row>
    <row r="67">
      <c r="A67" s="33" t="n"/>
    </row>
    <row r="68">
      <c r="A68" s="33" t="n"/>
    </row>
    <row r="69">
      <c r="A69" s="33" t="n"/>
    </row>
    <row r="70">
      <c r="A70" s="33" t="n"/>
    </row>
    <row r="71">
      <c r="A71" s="33" t="n"/>
    </row>
    <row r="72">
      <c r="A72" s="33" t="n"/>
    </row>
    <row r="73">
      <c r="A73" s="33" t="n"/>
    </row>
    <row r="74">
      <c r="A74" s="33" t="n"/>
    </row>
    <row r="75">
      <c r="A75" s="33" t="n"/>
    </row>
    <row r="76">
      <c r="A76" s="33" t="n"/>
    </row>
    <row r="77">
      <c r="A77" s="33" t="n"/>
    </row>
    <row r="78">
      <c r="A78" s="33" t="n"/>
    </row>
    <row r="79">
      <c r="A79" s="33" t="n"/>
    </row>
    <row r="80">
      <c r="A80" s="33" t="n"/>
    </row>
    <row r="81">
      <c r="A81" s="33" t="n"/>
    </row>
    <row r="82">
      <c r="A82" s="33" t="n"/>
    </row>
    <row r="83">
      <c r="A83" s="33" t="n"/>
    </row>
    <row r="84">
      <c r="A84" s="33" t="n"/>
    </row>
    <row r="85">
      <c r="A85" s="33" t="n"/>
    </row>
    <row r="86">
      <c r="A86" s="33" t="n"/>
    </row>
    <row r="87">
      <c r="A87" s="33" t="n"/>
    </row>
    <row r="88">
      <c r="A88" s="33" t="n"/>
    </row>
    <row r="89">
      <c r="A89" s="33" t="n"/>
    </row>
    <row r="90">
      <c r="A90" s="33" t="n"/>
    </row>
    <row r="91">
      <c r="A91" s="33" t="n"/>
    </row>
    <row r="92">
      <c r="A92" s="33" t="n"/>
    </row>
    <row r="93">
      <c r="A93" s="33" t="n"/>
    </row>
    <row r="94">
      <c r="A94" s="33" t="n"/>
    </row>
    <row r="95">
      <c r="A95" s="33" t="n"/>
    </row>
    <row r="96">
      <c r="A96" s="33" t="n"/>
    </row>
    <row r="97">
      <c r="A97" s="33" t="n"/>
    </row>
    <row r="98">
      <c r="A98" s="33" t="n"/>
    </row>
    <row r="99">
      <c r="A99" s="33" t="n"/>
    </row>
    <row r="100">
      <c r="A100" s="33" t="n"/>
    </row>
    <row r="101">
      <c r="A101" s="33" t="n"/>
    </row>
    <row r="102">
      <c r="A102" s="33" t="n"/>
    </row>
    <row r="103">
      <c r="A103" s="33" t="n"/>
    </row>
    <row r="104">
      <c r="A104" s="33" t="n"/>
    </row>
    <row r="105">
      <c r="A105" s="33" t="n"/>
    </row>
    <row r="106">
      <c r="A106" s="33" t="n"/>
    </row>
    <row r="107">
      <c r="A107" s="33" t="n"/>
    </row>
    <row r="108">
      <c r="A108" s="33" t="n"/>
    </row>
    <row r="109">
      <c r="A109" s="33" t="n"/>
    </row>
    <row r="110">
      <c r="A110" s="33" t="n"/>
    </row>
    <row r="111">
      <c r="A111" s="33" t="n"/>
    </row>
    <row r="112">
      <c r="A112" s="33" t="n"/>
    </row>
    <row r="113">
      <c r="A113" s="33" t="n"/>
    </row>
    <row r="114">
      <c r="A114" s="33" t="n"/>
    </row>
    <row r="115">
      <c r="A115" s="33" t="n"/>
    </row>
    <row r="116">
      <c r="A116" s="33" t="n"/>
    </row>
    <row r="117">
      <c r="A117" s="33" t="n"/>
    </row>
    <row r="118">
      <c r="A118" s="33" t="n"/>
    </row>
    <row r="119">
      <c r="A119" s="33" t="n"/>
    </row>
    <row r="120">
      <c r="A120" s="33" t="n"/>
    </row>
    <row r="121">
      <c r="A121" s="33" t="n"/>
    </row>
    <row r="122">
      <c r="A122" s="33" t="n"/>
    </row>
    <row r="123">
      <c r="A123" s="33" t="n"/>
    </row>
    <row r="124">
      <c r="A124" s="33" t="n"/>
    </row>
    <row r="125">
      <c r="A125" s="33" t="n"/>
    </row>
    <row r="126">
      <c r="A126" s="33" t="n"/>
    </row>
    <row r="127">
      <c r="A127" s="33" t="n"/>
    </row>
    <row r="128">
      <c r="A128" s="33" t="n"/>
    </row>
    <row r="129">
      <c r="A129" s="33" t="n"/>
    </row>
    <row r="130">
      <c r="A130" s="33" t="n"/>
    </row>
    <row r="131">
      <c r="A131" s="33" t="n"/>
    </row>
    <row r="132">
      <c r="A132" s="33" t="n"/>
    </row>
    <row r="133">
      <c r="A133" s="33" t="n"/>
    </row>
    <row r="134">
      <c r="A134" s="33" t="n"/>
    </row>
    <row r="135">
      <c r="A135" s="33" t="n"/>
    </row>
    <row r="136">
      <c r="A136" s="33" t="n"/>
    </row>
    <row r="137">
      <c r="A137" s="33" t="n"/>
    </row>
    <row r="138">
      <c r="A138" s="33" t="n"/>
    </row>
    <row r="139">
      <c r="A139" s="33" t="n"/>
    </row>
    <row r="140">
      <c r="A140" s="33" t="n"/>
    </row>
    <row r="141">
      <c r="A141" s="33" t="n"/>
    </row>
    <row r="142">
      <c r="A142" s="33" t="n"/>
    </row>
    <row r="143">
      <c r="A143" s="33" t="n"/>
    </row>
    <row r="144">
      <c r="A144" s="33" t="n"/>
    </row>
    <row r="145">
      <c r="A145" s="33" t="n"/>
    </row>
    <row r="146">
      <c r="A146" s="33" t="n"/>
    </row>
    <row r="147">
      <c r="A147" s="33" t="n"/>
    </row>
    <row r="148">
      <c r="A148" s="33" t="n"/>
    </row>
    <row r="149">
      <c r="A149" s="33" t="n"/>
    </row>
    <row r="150">
      <c r="A150" s="33" t="n"/>
    </row>
    <row r="151">
      <c r="A151" s="33" t="n"/>
    </row>
    <row r="152">
      <c r="A152" s="33" t="n"/>
    </row>
    <row r="153">
      <c r="A153" s="33" t="n"/>
    </row>
    <row r="154">
      <c r="A154" s="33" t="n"/>
    </row>
    <row r="155">
      <c r="A155" s="33" t="n"/>
    </row>
    <row r="156">
      <c r="A156" s="33" t="n"/>
    </row>
    <row r="157">
      <c r="A157" s="33" t="n"/>
    </row>
    <row r="158">
      <c r="A158" s="33" t="n"/>
    </row>
    <row r="159">
      <c r="A159" s="33" t="n"/>
    </row>
    <row r="160">
      <c r="A160" s="33" t="n"/>
    </row>
    <row r="161">
      <c r="A161" s="33" t="n"/>
    </row>
    <row r="162">
      <c r="A162" s="33" t="n"/>
    </row>
    <row r="163">
      <c r="A163" s="33" t="n"/>
    </row>
    <row r="164">
      <c r="A164" s="33" t="n"/>
    </row>
    <row r="165">
      <c r="A165" s="33" t="n"/>
    </row>
    <row r="166">
      <c r="A166" s="33" t="n"/>
    </row>
    <row r="167">
      <c r="A167" s="33" t="n"/>
    </row>
    <row r="168">
      <c r="A168" s="33" t="n"/>
    </row>
    <row r="169">
      <c r="A169" s="33" t="n"/>
    </row>
    <row r="170">
      <c r="A170" s="33" t="n"/>
    </row>
    <row r="171">
      <c r="A171" s="33" t="n"/>
    </row>
    <row r="172">
      <c r="A172" s="33" t="n"/>
    </row>
    <row r="173">
      <c r="A173" s="33" t="n"/>
    </row>
    <row r="174">
      <c r="A174" s="33" t="n"/>
    </row>
    <row r="175">
      <c r="A175" s="33" t="n"/>
    </row>
    <row r="176">
      <c r="A176" s="33" t="n"/>
    </row>
    <row r="177">
      <c r="A177" s="33" t="n"/>
    </row>
    <row r="178">
      <c r="A178" s="33" t="n"/>
    </row>
    <row r="179">
      <c r="A179" s="33" t="n"/>
    </row>
    <row r="180">
      <c r="A180" s="33" t="n"/>
    </row>
    <row r="181">
      <c r="A181" s="33" t="n"/>
    </row>
    <row r="182">
      <c r="A182" s="33" t="n"/>
    </row>
    <row r="183">
      <c r="A183" s="33" t="n"/>
    </row>
    <row r="184">
      <c r="A184" s="33" t="n"/>
    </row>
    <row r="185">
      <c r="A185" s="33" t="n"/>
    </row>
    <row r="186">
      <c r="A186" s="33" t="n"/>
    </row>
    <row r="187">
      <c r="A187" s="33" t="n"/>
    </row>
    <row r="188">
      <c r="A188" s="33" t="n"/>
    </row>
    <row r="189">
      <c r="A189" s="33" t="n"/>
    </row>
    <row r="190">
      <c r="A190" s="33" t="n"/>
    </row>
    <row r="191">
      <c r="A191" s="33" t="n"/>
    </row>
    <row r="192">
      <c r="A192" s="33" t="n"/>
    </row>
    <row r="193">
      <c r="A193" s="33" t="n"/>
    </row>
    <row r="194">
      <c r="A194" s="33" t="n"/>
    </row>
    <row r="195">
      <c r="A195" s="33" t="n"/>
    </row>
    <row r="196">
      <c r="A196" s="33" t="n"/>
    </row>
    <row r="197">
      <c r="A197" s="33" t="n"/>
    </row>
    <row r="198">
      <c r="A198" s="33" t="n"/>
    </row>
    <row r="199">
      <c r="A199" s="33" t="n"/>
    </row>
    <row r="200">
      <c r="A200" s="33" t="n"/>
    </row>
    <row r="201">
      <c r="A201" s="33" t="n"/>
    </row>
    <row r="202">
      <c r="A202" s="33" t="n"/>
    </row>
    <row r="203">
      <c r="A203" s="33" t="n"/>
    </row>
    <row r="204">
      <c r="A204" s="33" t="n"/>
    </row>
    <row r="205">
      <c r="A205" s="33" t="n"/>
    </row>
    <row r="206">
      <c r="A206" s="33" t="n"/>
    </row>
    <row r="207">
      <c r="A207" s="33" t="n"/>
    </row>
    <row r="208">
      <c r="A208" s="33" t="n"/>
    </row>
    <row r="209">
      <c r="A209" s="33" t="n"/>
    </row>
    <row r="210">
      <c r="A210" s="33" t="n"/>
    </row>
    <row r="211">
      <c r="A211" s="33" t="n"/>
    </row>
    <row r="212">
      <c r="A212" s="33" t="n"/>
    </row>
    <row r="213">
      <c r="A213" s="33" t="n"/>
    </row>
    <row r="214">
      <c r="A214" s="33" t="n"/>
    </row>
    <row r="215">
      <c r="A215" s="33" t="n"/>
    </row>
    <row r="216">
      <c r="A216" s="33" t="n"/>
    </row>
    <row r="217">
      <c r="A217" s="33" t="n"/>
    </row>
    <row r="218">
      <c r="A218" s="33" t="n"/>
    </row>
    <row r="219">
      <c r="A219" s="33" t="n"/>
    </row>
    <row r="220">
      <c r="A220" s="33" t="n"/>
    </row>
    <row r="221">
      <c r="A221" s="33" t="n"/>
    </row>
    <row r="222">
      <c r="A222" s="33" t="n"/>
    </row>
    <row r="223">
      <c r="A223" s="33" t="n"/>
    </row>
    <row r="224">
      <c r="A224" s="33" t="n"/>
    </row>
    <row r="225">
      <c r="A225" s="33" t="n"/>
    </row>
    <row r="226">
      <c r="A226" s="33" t="n"/>
    </row>
    <row r="227">
      <c r="A227" s="33" t="n"/>
    </row>
    <row r="228">
      <c r="A228" s="33" t="n"/>
    </row>
    <row r="229">
      <c r="A229" s="33" t="n"/>
    </row>
    <row r="230">
      <c r="A230" s="33" t="n"/>
    </row>
    <row r="231">
      <c r="A231" s="33" t="n"/>
    </row>
    <row r="232">
      <c r="A232" s="33" t="n"/>
    </row>
    <row r="233">
      <c r="A233" s="33" t="n"/>
    </row>
    <row r="234">
      <c r="A234" s="33" t="n"/>
    </row>
    <row r="235">
      <c r="A235" s="33" t="n"/>
    </row>
    <row r="236">
      <c r="A236" s="33" t="n"/>
    </row>
    <row r="237">
      <c r="A237" s="33" t="n"/>
    </row>
    <row r="238">
      <c r="A238" s="33" t="n"/>
    </row>
    <row r="239">
      <c r="A239" s="33" t="n"/>
    </row>
    <row r="240">
      <c r="A240" s="33" t="n"/>
    </row>
    <row r="241">
      <c r="A241" s="33" t="n"/>
    </row>
    <row r="242">
      <c r="A242" s="33" t="n"/>
    </row>
    <row r="243">
      <c r="A243" s="33" t="n"/>
    </row>
    <row r="244">
      <c r="A244" s="33" t="n"/>
    </row>
    <row r="245">
      <c r="A245" s="33" t="n"/>
    </row>
    <row r="246">
      <c r="A246" s="33" t="n"/>
    </row>
    <row r="247">
      <c r="A247" s="33" t="n"/>
    </row>
    <row r="248">
      <c r="A248" s="33" t="n"/>
    </row>
    <row r="249">
      <c r="A249" s="33" t="n"/>
    </row>
    <row r="250">
      <c r="A250" s="33" t="n"/>
    </row>
    <row r="251">
      <c r="A251" s="33" t="n"/>
    </row>
    <row r="252">
      <c r="A252" s="33" t="n"/>
    </row>
    <row r="253">
      <c r="A253" s="33" t="n"/>
    </row>
    <row r="254">
      <c r="A254" s="33" t="n"/>
    </row>
    <row r="255">
      <c r="A255" s="33" t="n"/>
    </row>
    <row r="256">
      <c r="A256" s="33" t="n"/>
    </row>
    <row r="257">
      <c r="A257" s="33" t="n"/>
    </row>
    <row r="258">
      <c r="A258" s="33" t="n"/>
    </row>
    <row r="259">
      <c r="A259" s="33" t="n"/>
    </row>
    <row r="260">
      <c r="A260" s="33" t="n"/>
    </row>
    <row r="261">
      <c r="A261" s="33" t="n"/>
    </row>
    <row r="262">
      <c r="A262" s="33" t="n"/>
    </row>
    <row r="263">
      <c r="A263" s="33" t="n"/>
    </row>
    <row r="264">
      <c r="A264" s="33" t="n"/>
    </row>
    <row r="265">
      <c r="A265" s="33" t="n"/>
    </row>
    <row r="266">
      <c r="A266" s="33" t="n"/>
    </row>
    <row r="267">
      <c r="A267" s="33" t="n"/>
    </row>
    <row r="268">
      <c r="A268" s="33" t="n"/>
    </row>
    <row r="269">
      <c r="A269" s="33" t="n"/>
    </row>
    <row r="270">
      <c r="A270" s="33" t="n"/>
    </row>
    <row r="271">
      <c r="A271" s="33" t="n"/>
    </row>
    <row r="272">
      <c r="A272" s="33" t="n"/>
    </row>
    <row r="273">
      <c r="A273" s="33" t="n"/>
    </row>
    <row r="274">
      <c r="A274" s="33" t="n"/>
    </row>
    <row r="275">
      <c r="A275" s="33" t="n"/>
    </row>
    <row r="276">
      <c r="A276" s="33" t="n"/>
    </row>
    <row r="277">
      <c r="A277" s="33" t="n"/>
    </row>
    <row r="278">
      <c r="A278" s="33" t="n"/>
    </row>
    <row r="279">
      <c r="A279" s="33" t="n"/>
    </row>
    <row r="280">
      <c r="A280" s="33" t="n"/>
    </row>
    <row r="281">
      <c r="A281" s="33" t="n"/>
    </row>
    <row r="282">
      <c r="A282" s="33" t="n"/>
    </row>
    <row r="283">
      <c r="A283" s="33" t="n"/>
    </row>
    <row r="284">
      <c r="A284" s="33" t="n"/>
    </row>
    <row r="285">
      <c r="A285" s="33" t="n"/>
    </row>
    <row r="286">
      <c r="A286" s="33" t="n"/>
    </row>
    <row r="287">
      <c r="A287" s="33" t="n"/>
    </row>
    <row r="288">
      <c r="A288" s="33" t="n"/>
    </row>
    <row r="289">
      <c r="A289" s="33" t="n"/>
    </row>
    <row r="290">
      <c r="A290" s="33" t="n"/>
    </row>
    <row r="291">
      <c r="A291" s="33" t="n"/>
    </row>
    <row r="292">
      <c r="A292" s="33" t="n"/>
    </row>
    <row r="293">
      <c r="A293" s="33" t="n"/>
    </row>
    <row r="294">
      <c r="A294" s="33" t="n"/>
    </row>
    <row r="295">
      <c r="A295" s="33" t="n"/>
    </row>
    <row r="296">
      <c r="A296" s="33" t="n"/>
    </row>
    <row r="297">
      <c r="A297" s="33" t="n"/>
    </row>
    <row r="298">
      <c r="A298" s="33" t="n"/>
    </row>
    <row r="299">
      <c r="A299" s="33" t="n"/>
    </row>
    <row r="300">
      <c r="A300" s="33" t="n"/>
    </row>
    <row r="301">
      <c r="A301" s="33" t="n"/>
    </row>
    <row r="302">
      <c r="A302" s="33" t="n"/>
    </row>
    <row r="303">
      <c r="A303" s="33" t="n"/>
    </row>
    <row r="304">
      <c r="A304" s="33" t="n"/>
    </row>
    <row r="305">
      <c r="A305" s="33" t="n"/>
    </row>
    <row r="306">
      <c r="A306" s="33" t="n"/>
    </row>
    <row r="307">
      <c r="A307" s="33" t="n"/>
    </row>
    <row r="308">
      <c r="A308" s="33" t="n"/>
    </row>
    <row r="309">
      <c r="A309" s="33" t="n"/>
    </row>
    <row r="310">
      <c r="A310" s="33" t="n"/>
    </row>
    <row r="311">
      <c r="A311" s="33" t="n"/>
    </row>
    <row r="312">
      <c r="A312" s="33" t="n"/>
    </row>
    <row r="313">
      <c r="A313" s="33" t="n"/>
    </row>
    <row r="314">
      <c r="A314" s="33" t="n"/>
    </row>
    <row r="315">
      <c r="A315" s="33" t="n"/>
    </row>
    <row r="316">
      <c r="A316" s="33" t="n"/>
    </row>
    <row r="317">
      <c r="A317" s="33" t="n"/>
    </row>
    <row r="318">
      <c r="A318" s="33" t="n"/>
    </row>
    <row r="319">
      <c r="A319" s="33" t="n"/>
    </row>
    <row r="320">
      <c r="A320" s="33" t="n"/>
    </row>
    <row r="321">
      <c r="A321" s="33" t="n"/>
    </row>
    <row r="322">
      <c r="A322" s="33" t="n"/>
    </row>
    <row r="323">
      <c r="A323" s="33" t="n"/>
    </row>
    <row r="324">
      <c r="A324" s="33" t="n"/>
    </row>
    <row r="325">
      <c r="A325" s="33" t="n"/>
    </row>
    <row r="326">
      <c r="A326" s="33" t="n"/>
    </row>
    <row r="327">
      <c r="A327" s="33" t="n"/>
    </row>
    <row r="328">
      <c r="A328" s="33" t="n"/>
    </row>
    <row r="329">
      <c r="A329" s="33" t="n"/>
    </row>
    <row r="330">
      <c r="A330" s="33" t="n"/>
    </row>
    <row r="331">
      <c r="A331" s="33" t="n"/>
    </row>
    <row r="332">
      <c r="A332" s="33" t="n"/>
    </row>
    <row r="333">
      <c r="A333" s="33" t="n"/>
    </row>
    <row r="334">
      <c r="A334" s="33" t="n"/>
    </row>
    <row r="335">
      <c r="A335" s="33" t="n"/>
    </row>
    <row r="336">
      <c r="A336" s="33" t="n"/>
    </row>
    <row r="337">
      <c r="A337" s="33" t="n"/>
    </row>
    <row r="338">
      <c r="A338" s="33" t="n"/>
    </row>
    <row r="339">
      <c r="A339" s="33" t="n"/>
    </row>
    <row r="340">
      <c r="A340" s="33" t="n"/>
    </row>
    <row r="341">
      <c r="A341" s="33" t="n"/>
    </row>
    <row r="342">
      <c r="A342" s="33" t="n"/>
    </row>
    <row r="343">
      <c r="A343" s="33" t="n"/>
    </row>
    <row r="344">
      <c r="A344" s="33" t="n"/>
    </row>
    <row r="345">
      <c r="A345" s="33" t="n"/>
    </row>
    <row r="346">
      <c r="A346" s="33" t="n"/>
    </row>
    <row r="347">
      <c r="A347" s="33" t="n"/>
    </row>
    <row r="348">
      <c r="A348" s="33" t="n"/>
    </row>
    <row r="349">
      <c r="A349" s="33" t="n"/>
    </row>
    <row r="350">
      <c r="A350" s="33" t="n"/>
    </row>
    <row r="351">
      <c r="A351" s="33" t="n"/>
    </row>
    <row r="352">
      <c r="A352" s="33" t="n"/>
    </row>
    <row r="353">
      <c r="A353" s="33" t="n"/>
    </row>
    <row r="354">
      <c r="A354" s="33" t="n"/>
    </row>
    <row r="355">
      <c r="A355" s="33" t="n"/>
    </row>
    <row r="356">
      <c r="A356" s="33" t="n"/>
    </row>
    <row r="357">
      <c r="A357" s="33" t="n"/>
    </row>
    <row r="358">
      <c r="A358" s="33" t="n"/>
    </row>
    <row r="359">
      <c r="A359" s="33" t="n"/>
    </row>
    <row r="360">
      <c r="A360" s="33" t="n"/>
    </row>
    <row r="361">
      <c r="A361" s="33" t="n"/>
    </row>
    <row r="362">
      <c r="A362" s="33" t="n"/>
    </row>
    <row r="363">
      <c r="A363" s="33" t="n"/>
    </row>
    <row r="364">
      <c r="A364" s="33" t="n"/>
    </row>
    <row r="365">
      <c r="A365" s="33" t="n"/>
    </row>
    <row r="366">
      <c r="A366" s="33" t="n"/>
    </row>
    <row r="367">
      <c r="A367" s="33" t="n"/>
    </row>
    <row r="368">
      <c r="A368" s="33" t="n"/>
    </row>
    <row r="369">
      <c r="A369" s="33" t="n"/>
    </row>
    <row r="370">
      <c r="A370" s="33" t="n"/>
    </row>
    <row r="371">
      <c r="A371" s="33" t="n"/>
    </row>
    <row r="372">
      <c r="A372" s="33" t="n"/>
    </row>
    <row r="373">
      <c r="A373" s="33" t="n"/>
    </row>
    <row r="374">
      <c r="A374" s="33" t="n"/>
    </row>
    <row r="375">
      <c r="A375" s="33" t="n"/>
    </row>
    <row r="376">
      <c r="A376" s="33" t="n"/>
    </row>
    <row r="377">
      <c r="A377" s="33" t="n"/>
    </row>
    <row r="378">
      <c r="A378" s="33" t="n"/>
    </row>
    <row r="379">
      <c r="A379" s="33" t="n"/>
    </row>
    <row r="380">
      <c r="A380" s="33" t="n"/>
    </row>
    <row r="381">
      <c r="A381" s="33" t="n"/>
    </row>
    <row r="382">
      <c r="A382" s="33" t="n"/>
    </row>
    <row r="383">
      <c r="A383" s="33" t="n"/>
    </row>
    <row r="384">
      <c r="A384" s="33" t="n"/>
    </row>
    <row r="385">
      <c r="A385" s="33" t="n"/>
    </row>
    <row r="386">
      <c r="A386" s="33" t="n"/>
    </row>
    <row r="387">
      <c r="A387" s="33" t="n"/>
    </row>
    <row r="388">
      <c r="A388" s="33" t="n"/>
    </row>
    <row r="389">
      <c r="A389" s="33" t="n"/>
    </row>
    <row r="390">
      <c r="A390" s="33" t="n"/>
    </row>
    <row r="391">
      <c r="A391" s="33" t="n"/>
    </row>
    <row r="392">
      <c r="A392" s="33" t="n"/>
    </row>
    <row r="393">
      <c r="A393" s="33" t="n"/>
    </row>
    <row r="394">
      <c r="A394" s="33" t="n"/>
    </row>
    <row r="395">
      <c r="A395" s="33" t="n"/>
    </row>
    <row r="396">
      <c r="A396" s="33" t="n"/>
    </row>
    <row r="397">
      <c r="A397" s="33" t="n"/>
    </row>
    <row r="398">
      <c r="A398" s="33" t="n"/>
    </row>
    <row r="399">
      <c r="A399" s="33" t="n"/>
    </row>
    <row r="400">
      <c r="A400" s="33" t="n"/>
    </row>
    <row r="401">
      <c r="A401" s="33" t="n"/>
    </row>
    <row r="402">
      <c r="A402" s="33" t="n"/>
    </row>
    <row r="403">
      <c r="A403" s="33" t="n"/>
    </row>
    <row r="404">
      <c r="A404" s="33" t="n"/>
    </row>
    <row r="405">
      <c r="A405" s="33" t="n"/>
    </row>
    <row r="406">
      <c r="A406" s="33" t="n"/>
    </row>
    <row r="407">
      <c r="A407" s="33" t="n"/>
    </row>
    <row r="408">
      <c r="A408" s="33" t="n"/>
    </row>
    <row r="409">
      <c r="A409" s="33" t="n"/>
    </row>
    <row r="410">
      <c r="A410" s="33" t="n"/>
    </row>
    <row r="411">
      <c r="A411" s="33" t="n"/>
    </row>
    <row r="412">
      <c r="A412" s="33" t="n"/>
    </row>
    <row r="413">
      <c r="A413" s="33" t="n"/>
    </row>
    <row r="414">
      <c r="A414" s="33" t="n"/>
    </row>
    <row r="415">
      <c r="A415" s="33" t="n"/>
    </row>
    <row r="416">
      <c r="A416" s="33" t="n"/>
    </row>
    <row r="417">
      <c r="A417" s="33" t="n"/>
    </row>
    <row r="418">
      <c r="A418" s="33" t="n"/>
    </row>
    <row r="419">
      <c r="A419" s="33" t="n"/>
    </row>
    <row r="420">
      <c r="A420" s="33" t="n"/>
    </row>
    <row r="421">
      <c r="A421" s="33" t="n"/>
    </row>
    <row r="422">
      <c r="A422" s="33" t="n"/>
    </row>
    <row r="423">
      <c r="A423" s="33" t="n"/>
    </row>
    <row r="424">
      <c r="A424" s="33" t="n"/>
    </row>
    <row r="425">
      <c r="A425" s="33" t="n"/>
    </row>
    <row r="426">
      <c r="A426" s="33" t="n"/>
    </row>
    <row r="427">
      <c r="A427" s="33" t="n"/>
    </row>
    <row r="428">
      <c r="A428" s="33" t="n"/>
    </row>
    <row r="429">
      <c r="A429" s="33" t="n"/>
    </row>
    <row r="430">
      <c r="A430" s="33" t="n"/>
    </row>
    <row r="431">
      <c r="A431" s="33" t="n"/>
    </row>
    <row r="432">
      <c r="A432" s="33" t="n"/>
    </row>
    <row r="433">
      <c r="A433" s="33" t="n"/>
    </row>
    <row r="434">
      <c r="A434" s="33" t="n"/>
    </row>
    <row r="435">
      <c r="A435" s="33" t="n"/>
    </row>
    <row r="436">
      <c r="A436" s="33" t="n"/>
    </row>
    <row r="437">
      <c r="A437" s="33" t="n"/>
    </row>
    <row r="438">
      <c r="A438" s="33" t="n"/>
    </row>
    <row r="439">
      <c r="A439" s="33" t="n"/>
    </row>
    <row r="440">
      <c r="A440" s="33" t="n"/>
    </row>
    <row r="441">
      <c r="A441" s="33" t="n"/>
    </row>
    <row r="442">
      <c r="A442" s="33" t="n"/>
    </row>
    <row r="443">
      <c r="A443" s="33" t="n"/>
    </row>
    <row r="444">
      <c r="A444" s="33" t="n"/>
    </row>
    <row r="445">
      <c r="A445" s="33" t="n"/>
    </row>
    <row r="446">
      <c r="A446" s="33" t="n"/>
    </row>
    <row r="447">
      <c r="A447" s="33" t="n"/>
    </row>
    <row r="448">
      <c r="A448" s="33" t="n"/>
    </row>
    <row r="449">
      <c r="A449" s="33" t="n"/>
    </row>
    <row r="450">
      <c r="A450" s="33" t="n"/>
    </row>
    <row r="451">
      <c r="A451" s="33" t="n"/>
    </row>
    <row r="452">
      <c r="A452" s="33" t="n"/>
    </row>
    <row r="453">
      <c r="A453" s="33" t="n"/>
    </row>
    <row r="454">
      <c r="A454" s="33" t="n"/>
    </row>
    <row r="455">
      <c r="A455" s="33" t="n"/>
    </row>
    <row r="456">
      <c r="A456" s="33" t="n"/>
    </row>
    <row r="457">
      <c r="A457" s="33" t="n"/>
    </row>
    <row r="458">
      <c r="A458" s="33" t="n"/>
    </row>
    <row r="459">
      <c r="A459" s="33" t="n"/>
    </row>
    <row r="460">
      <c r="A460" s="33" t="n"/>
    </row>
    <row r="461">
      <c r="A461" s="33" t="n"/>
    </row>
    <row r="462">
      <c r="A462" s="33" t="n"/>
    </row>
    <row r="463">
      <c r="A463" s="33" t="n"/>
    </row>
    <row r="464">
      <c r="A464" s="33" t="n"/>
    </row>
    <row r="465">
      <c r="A465" s="33" t="n"/>
    </row>
    <row r="466">
      <c r="A466" s="33" t="n"/>
    </row>
    <row r="467">
      <c r="A467" s="33" t="n"/>
    </row>
    <row r="468">
      <c r="A468" s="33" t="n"/>
    </row>
    <row r="469">
      <c r="A469" s="33" t="n"/>
    </row>
    <row r="470">
      <c r="A470" s="33" t="n"/>
    </row>
    <row r="471">
      <c r="A471" s="33" t="n"/>
    </row>
    <row r="472">
      <c r="A472" s="33" t="n"/>
    </row>
    <row r="473">
      <c r="A473" s="33" t="n"/>
    </row>
    <row r="474">
      <c r="A474" s="33" t="n"/>
    </row>
    <row r="475">
      <c r="A475" s="33" t="n"/>
    </row>
    <row r="476">
      <c r="A476" s="33" t="n"/>
    </row>
    <row r="477">
      <c r="A477" s="33" t="n"/>
    </row>
    <row r="478">
      <c r="A478" s="33" t="n"/>
    </row>
    <row r="479">
      <c r="A479" s="33" t="n"/>
    </row>
    <row r="480">
      <c r="A480" s="33" t="n"/>
    </row>
    <row r="481">
      <c r="A481" s="33" t="n"/>
    </row>
    <row r="482">
      <c r="A482" s="33" t="n"/>
    </row>
    <row r="483">
      <c r="A483" s="33" t="n"/>
    </row>
    <row r="484">
      <c r="A484" s="33" t="n"/>
    </row>
    <row r="485">
      <c r="A485" s="33" t="n"/>
    </row>
    <row r="486">
      <c r="A486" s="33" t="n"/>
    </row>
    <row r="487">
      <c r="A487" s="33" t="n"/>
    </row>
    <row r="488">
      <c r="A488" s="33" t="n"/>
    </row>
    <row r="489">
      <c r="A489" s="33" t="n"/>
    </row>
    <row r="490">
      <c r="A490" s="33" t="n"/>
    </row>
    <row r="491">
      <c r="A491" s="33" t="n"/>
    </row>
    <row r="492">
      <c r="A492" s="33" t="n"/>
    </row>
    <row r="493">
      <c r="A493" s="33" t="n"/>
    </row>
    <row r="494">
      <c r="A494" s="33" t="n"/>
    </row>
    <row r="495">
      <c r="A495" s="33" t="n"/>
    </row>
    <row r="496">
      <c r="A496" s="33" t="n"/>
    </row>
    <row r="497">
      <c r="A497" s="33" t="n"/>
    </row>
    <row r="498">
      <c r="A498" s="33" t="n"/>
    </row>
    <row r="499">
      <c r="A499" s="33" t="n"/>
    </row>
    <row r="500">
      <c r="A500" s="33" t="n"/>
    </row>
    <row r="501">
      <c r="A501" s="33" t="n"/>
    </row>
    <row r="502">
      <c r="A502" s="33" t="n"/>
    </row>
    <row r="503">
      <c r="A503" s="33" t="n"/>
    </row>
    <row r="504">
      <c r="A504" s="33" t="n"/>
    </row>
    <row r="505">
      <c r="A505" s="33" t="n"/>
    </row>
    <row r="506">
      <c r="A506" s="33" t="n"/>
    </row>
  </sheetData>
  <hyperlinks>
    <hyperlink ref="J1" location="'Inicio'!A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F5FD0"/>
    <outlinePr summaryBelow="1" summaryRight="1"/>
    <pageSetUpPr/>
  </sheetPr>
  <dimension ref="A1:J46"/>
  <sheetViews>
    <sheetView tabSelected="0" zoomScale="115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3" customWidth="1" min="7" max="7"/>
    <col width="40" customWidth="1" min="8" max="8"/>
    <col width="16" customWidth="1" min="9" max="9"/>
    <col width="34" customWidth="1" min="10" max="10"/>
  </cols>
  <sheetData>
    <row r="1" ht="30" customHeight="1">
      <c r="A1" s="27" t="inlineStr">
        <is>
          <t>B · Tabla de valores y frecuencias</t>
        </is>
      </c>
      <c r="B1" s="12" t="n"/>
      <c r="C1" s="12" t="n"/>
      <c r="D1" s="12" t="n"/>
      <c r="E1" s="12" t="n"/>
      <c r="F1" s="12" t="n"/>
      <c r="G1" s="12" t="n"/>
      <c r="H1" s="12" t="n"/>
      <c r="J1" s="20" t="inlineStr">
        <is>
          <t>← Volver al inicio</t>
        </is>
      </c>
    </row>
    <row r="2">
      <c r="A2" s="2" t="inlineStr">
        <is>
          <t>Cuando te dan la tabla (valores xᵢ y sus frecuencias nᵢ) en vez de los datos sueltos.</t>
        </is>
      </c>
    </row>
    <row r="3">
      <c r="A3" s="28" t="inlineStr">
        <is>
          <t>Escribe los valores ORDENADOS de menor a mayor en A y sus frecuencias en B (absolutas o relativas). Usa la receta de clase para mediana y cuantiles.</t>
        </is>
      </c>
    </row>
    <row r="4">
      <c r="A4" s="29" t="inlineStr">
        <is>
          <t>Amarillo: escribe o pega aquí tus datos.  Verde: resultados (no los toques).</t>
        </is>
      </c>
    </row>
    <row r="5">
      <c r="H5" s="30" t="inlineStr">
        <is>
          <t>Cuantil que quieres (tanto por uno) →</t>
        </is>
      </c>
      <c r="I5" s="31" t="n">
        <v>0.75</v>
      </c>
    </row>
    <row r="6">
      <c r="A6" s="21" t="inlineStr">
        <is>
          <t>xᵢ</t>
        </is>
      </c>
      <c r="B6" s="21" t="inlineStr">
        <is>
          <t>nᵢ</t>
        </is>
      </c>
      <c r="C6" s="21" t="inlineStr">
        <is>
          <t>fᵢ</t>
        </is>
      </c>
      <c r="D6" s="21" t="inlineStr">
        <is>
          <t>Nᵢ</t>
        </is>
      </c>
      <c r="E6" s="21" t="inlineStr">
        <is>
          <t>xᵢ·nᵢ</t>
        </is>
      </c>
      <c r="F6" s="21" t="inlineStr">
        <is>
          <t>xᵢ²·nᵢ</t>
        </is>
      </c>
    </row>
    <row r="7">
      <c r="A7" s="33" t="n"/>
      <c r="B7" s="33" t="n"/>
      <c r="C7" s="35">
        <f>IF(B7="","",B7/SUM($B$7:$B$46))</f>
        <v/>
      </c>
      <c r="D7" s="40">
        <f>IF(B7="","",SUM($B$7:B7))</f>
        <v/>
      </c>
      <c r="E7" s="40">
        <f>IF(B7="","",A7*B7)</f>
        <v/>
      </c>
      <c r="F7" s="40">
        <f>IF(B7="","",A7^2*B7)</f>
        <v/>
      </c>
      <c r="H7" s="32" t="inlineStr">
        <is>
          <t>n (suma de frecuencias)</t>
        </is>
      </c>
      <c r="I7" s="41">
        <f>IFERROR(SUM($B$7:$B$46),"")</f>
        <v/>
      </c>
    </row>
    <row r="8">
      <c r="A8" s="33" t="n"/>
      <c r="B8" s="33" t="n"/>
      <c r="C8" s="35">
        <f>IF(B8="","",B8/SUM($B$7:$B$46))</f>
        <v/>
      </c>
      <c r="D8" s="40">
        <f>IF(B8="","",SUM($B$7:B8))</f>
        <v/>
      </c>
      <c r="E8" s="40">
        <f>IF(B8="","",A8*B8)</f>
        <v/>
      </c>
      <c r="F8" s="40">
        <f>IF(B8="","",A8^2*B8)</f>
        <v/>
      </c>
      <c r="H8" s="32" t="inlineStr">
        <is>
          <t>Media</t>
        </is>
      </c>
      <c r="I8" s="38">
        <f>IFERROR(SUM(E7:E46)/SUM($B$7:$B$46),"")</f>
        <v/>
      </c>
    </row>
    <row r="9">
      <c r="A9" s="33" t="n"/>
      <c r="B9" s="33" t="n"/>
      <c r="C9" s="35">
        <f>IF(B9="","",B9/SUM($B$7:$B$46))</f>
        <v/>
      </c>
      <c r="D9" s="40">
        <f>IF(B9="","",SUM($B$7:B9))</f>
        <v/>
      </c>
      <c r="E9" s="40">
        <f>IF(B9="","",A9*B9)</f>
        <v/>
      </c>
      <c r="F9" s="40">
        <f>IF(B9="","",A9^2*B9)</f>
        <v/>
      </c>
      <c r="H9" s="32" t="inlineStr">
        <is>
          <t>Varianza S²</t>
        </is>
      </c>
      <c r="I9" s="38">
        <f>IFERROR(SUM(F7:F46)/SUM($B$7:$B$46)-(SUM(E7:E46)/SUM($B$7:$B$46))^2,"")</f>
        <v/>
      </c>
    </row>
    <row r="10">
      <c r="A10" s="33" t="n"/>
      <c r="B10" s="33" t="n"/>
      <c r="C10" s="35">
        <f>IF(B10="","",B10/SUM($B$7:$B$46))</f>
        <v/>
      </c>
      <c r="D10" s="40">
        <f>IF(B10="","",SUM($B$7:B10))</f>
        <v/>
      </c>
      <c r="E10" s="40">
        <f>IF(B10="","",A10*B10)</f>
        <v/>
      </c>
      <c r="F10" s="40">
        <f>IF(B10="","",A10^2*B10)</f>
        <v/>
      </c>
      <c r="H10" s="32" t="inlineStr">
        <is>
          <t>Desviación típica S</t>
        </is>
      </c>
      <c r="I10" s="38">
        <f>IFERROR(SQRT(I9),"")</f>
        <v/>
      </c>
    </row>
    <row r="11">
      <c r="A11" s="33" t="n"/>
      <c r="B11" s="33" t="n"/>
      <c r="C11" s="35">
        <f>IF(B11="","",B11/SUM($B$7:$B$46))</f>
        <v/>
      </c>
      <c r="D11" s="40">
        <f>IF(B11="","",SUM($B$7:B11))</f>
        <v/>
      </c>
      <c r="E11" s="40">
        <f>IF(B11="","",A11*B11)</f>
        <v/>
      </c>
      <c r="F11" s="40">
        <f>IF(B11="","",A11^2*B11)</f>
        <v/>
      </c>
      <c r="H11" s="32" t="inlineStr">
        <is>
          <t>Cuasivarianza s² (solo con frecuencias absolutas)</t>
        </is>
      </c>
      <c r="I11" s="38">
        <f>IFERROR(I9*SUM($B$7:$B$46)/(SUM($B$7:$B$46)-1),"")</f>
        <v/>
      </c>
    </row>
    <row r="12">
      <c r="A12" s="33" t="n"/>
      <c r="B12" s="33" t="n"/>
      <c r="C12" s="35">
        <f>IF(B12="","",B12/SUM($B$7:$B$46))</f>
        <v/>
      </c>
      <c r="D12" s="40">
        <f>IF(B12="","",SUM($B$7:B12))</f>
        <v/>
      </c>
      <c r="E12" s="40">
        <f>IF(B12="","",A12*B12)</f>
        <v/>
      </c>
      <c r="F12" s="40">
        <f>IF(B12="","",A12^2*B12)</f>
        <v/>
      </c>
      <c r="H12" s="32" t="inlineStr">
        <is>
          <t>Coeficiente de variación</t>
        </is>
      </c>
      <c r="I12" s="38">
        <f>IFERROR(I10/I8,"")</f>
        <v/>
      </c>
    </row>
    <row r="13">
      <c r="A13" s="33" t="n"/>
      <c r="B13" s="33" t="n"/>
      <c r="C13" s="35">
        <f>IF(B13="","",B13/SUM($B$7:$B$46))</f>
        <v/>
      </c>
      <c r="D13" s="40">
        <f>IF(B13="","",SUM($B$7:B13))</f>
        <v/>
      </c>
      <c r="E13" s="40">
        <f>IF(B13="","",A13*B13)</f>
        <v/>
      </c>
      <c r="F13" s="40">
        <f>IF(B13="","",A13^2*B13)</f>
        <v/>
      </c>
      <c r="H13" s="32" t="inlineStr">
        <is>
          <t>Moda</t>
        </is>
      </c>
      <c r="I13" s="41">
        <f>IFERROR(INDEX($A$7:$A$46,MATCH(MAX($B$7:$B$46),$B$7:$B$46,0)),"")</f>
        <v/>
      </c>
    </row>
    <row r="14">
      <c r="A14" s="33" t="n"/>
      <c r="B14" s="33" t="n"/>
      <c r="C14" s="35">
        <f>IF(B14="","",B14/SUM($B$7:$B$46))</f>
        <v/>
      </c>
      <c r="D14" s="40">
        <f>IF(B14="","",SUM($B$7:B14))</f>
        <v/>
      </c>
      <c r="E14" s="40">
        <f>IF(B14="","",A14*B14)</f>
        <v/>
      </c>
      <c r="F14" s="40">
        <f>IF(B14="","",A14^2*B14)</f>
        <v/>
      </c>
      <c r="H14" s="32" t="inlineStr">
        <is>
          <t>Mediana (receta de clase)</t>
        </is>
      </c>
      <c r="I14" s="41">
        <f>IFERROR(IF(ABS(INDEX($D$7:$D$46,(COUNTIF($D$7:$D$46,"&lt;"&amp;0.5*SUM($B$7:$B$46)-1E-9)+1))-0.5*SUM($B$7:$B$46))&lt;1E-9,(INDEX($A$7:$A$46,(COUNTIF($D$7:$D$46,"&lt;"&amp;0.5*SUM($B$7:$B$46)-1E-9)+1))+INDEX($A$7:$A$46,(COUNTIF($D$7:$D$46,"&lt;"&amp;0.5*SUM($B$7:$B$46)-1E-9)+1)+1))/2,INDEX($A$7:$A$46,(COUNTIF($D$7:$D$46,"&lt;"&amp;0.5*SUM($B$7:$B$46)-1E-9)+1))),"")</f>
        <v/>
      </c>
    </row>
    <row r="15">
      <c r="A15" s="33" t="n"/>
      <c r="B15" s="33" t="n"/>
      <c r="C15" s="35">
        <f>IF(B15="","",B15/SUM($B$7:$B$46))</f>
        <v/>
      </c>
      <c r="D15" s="40">
        <f>IF(B15="","",SUM($B$7:B15))</f>
        <v/>
      </c>
      <c r="E15" s="40">
        <f>IF(B15="","",A15*B15)</f>
        <v/>
      </c>
      <c r="F15" s="40">
        <f>IF(B15="","",A15^2*B15)</f>
        <v/>
      </c>
      <c r="H15" s="32" t="inlineStr">
        <is>
          <t>C₁ (receta de clase)</t>
        </is>
      </c>
      <c r="I15" s="41">
        <f>IFERROR(IF(ABS(INDEX($D$7:$D$46,(COUNTIF($D$7:$D$46,"&lt;"&amp;0.25*SUM($B$7:$B$46)-1E-9)+1))-0.25*SUM($B$7:$B$46))&lt;1E-9,(INDEX($A$7:$A$46,(COUNTIF($D$7:$D$46,"&lt;"&amp;0.25*SUM($B$7:$B$46)-1E-9)+1))+INDEX($A$7:$A$46,(COUNTIF($D$7:$D$46,"&lt;"&amp;0.25*SUM($B$7:$B$46)-1E-9)+1)+1))/2,INDEX($A$7:$A$46,(COUNTIF($D$7:$D$46,"&lt;"&amp;0.25*SUM($B$7:$B$46)-1E-9)+1))),"")</f>
        <v/>
      </c>
    </row>
    <row r="16">
      <c r="A16" s="33" t="n"/>
      <c r="B16" s="33" t="n"/>
      <c r="C16" s="35">
        <f>IF(B16="","",B16/SUM($B$7:$B$46))</f>
        <v/>
      </c>
      <c r="D16" s="40">
        <f>IF(B16="","",SUM($B$7:B16))</f>
        <v/>
      </c>
      <c r="E16" s="40">
        <f>IF(B16="","",A16*B16)</f>
        <v/>
      </c>
      <c r="F16" s="40">
        <f>IF(B16="","",A16^2*B16)</f>
        <v/>
      </c>
      <c r="H16" s="32" t="inlineStr">
        <is>
          <t>C₃ (receta de clase)</t>
        </is>
      </c>
      <c r="I16" s="41">
        <f>IFERROR(IF(ABS(INDEX($D$7:$D$46,(COUNTIF($D$7:$D$46,"&lt;"&amp;0.75*SUM($B$7:$B$46)-1E-9)+1))-0.75*SUM($B$7:$B$46))&lt;1E-9,(INDEX($A$7:$A$46,(COUNTIF($D$7:$D$46,"&lt;"&amp;0.75*SUM($B$7:$B$46)-1E-9)+1))+INDEX($A$7:$A$46,(COUNTIF($D$7:$D$46,"&lt;"&amp;0.75*SUM($B$7:$B$46)-1E-9)+1)+1))/2,INDEX($A$7:$A$46,(COUNTIF($D$7:$D$46,"&lt;"&amp;0.75*SUM($B$7:$B$46)-1E-9)+1))),"")</f>
        <v/>
      </c>
    </row>
    <row r="17">
      <c r="A17" s="33" t="n"/>
      <c r="B17" s="33" t="n"/>
      <c r="C17" s="35">
        <f>IF(B17="","",B17/SUM($B$7:$B$46))</f>
        <v/>
      </c>
      <c r="D17" s="40">
        <f>IF(B17="","",SUM($B$7:B17))</f>
        <v/>
      </c>
      <c r="E17" s="40">
        <f>IF(B17="","",A17*B17)</f>
        <v/>
      </c>
      <c r="F17" s="40">
        <f>IF(B17="","",A17^2*B17)</f>
        <v/>
      </c>
      <c r="H17" s="32" t="inlineStr">
        <is>
          <t>Cuantil elegido (I5)</t>
        </is>
      </c>
      <c r="I17" s="41">
        <f>IFERROR(IF(ABS(INDEX($D$7:$D$46,(COUNTIF($D$7:$D$46,"&lt;"&amp;I5*SUM($B$7:$B$46)-1E-9)+1))-I5*SUM($B$7:$B$46))&lt;1E-9,(INDEX($A$7:$A$46,(COUNTIF($D$7:$D$46,"&lt;"&amp;I5*SUM($B$7:$B$46)-1E-9)+1))+INDEX($A$7:$A$46,(COUNTIF($D$7:$D$46,"&lt;"&amp;I5*SUM($B$7:$B$46)-1E-9)+1)+1))/2,INDEX($A$7:$A$46,(COUNTIF($D$7:$D$46,"&lt;"&amp;I5*SUM($B$7:$B$46)-1E-9)+1))),"")</f>
        <v/>
      </c>
    </row>
    <row r="18">
      <c r="A18" s="33" t="n"/>
      <c r="B18" s="33" t="n"/>
      <c r="C18" s="35">
        <f>IF(B18="","",B18/SUM($B$7:$B$46))</f>
        <v/>
      </c>
      <c r="D18" s="40">
        <f>IF(B18="","",SUM($B$7:B18))</f>
        <v/>
      </c>
      <c r="E18" s="40">
        <f>IF(B18="","",A18*B18)</f>
        <v/>
      </c>
      <c r="F18" s="40">
        <f>IF(B18="","",A18^2*B18)</f>
        <v/>
      </c>
    </row>
    <row r="19">
      <c r="A19" s="33" t="n"/>
      <c r="B19" s="33" t="n"/>
      <c r="C19" s="35">
        <f>IF(B19="","",B19/SUM($B$7:$B$46))</f>
        <v/>
      </c>
      <c r="D19" s="40">
        <f>IF(B19="","",SUM($B$7:B19))</f>
        <v/>
      </c>
      <c r="E19" s="40">
        <f>IF(B19="","",A19*B19)</f>
        <v/>
      </c>
      <c r="F19" s="40">
        <f>IF(B19="","",A19^2*B19)</f>
        <v/>
      </c>
    </row>
    <row r="20">
      <c r="A20" s="33" t="n"/>
      <c r="B20" s="33" t="n"/>
      <c r="C20" s="35">
        <f>IF(B20="","",B20/SUM($B$7:$B$46))</f>
        <v/>
      </c>
      <c r="D20" s="40">
        <f>IF(B20="","",SUM($B$7:B20))</f>
        <v/>
      </c>
      <c r="E20" s="40">
        <f>IF(B20="","",A20*B20)</f>
        <v/>
      </c>
      <c r="F20" s="40">
        <f>IF(B20="","",A20^2*B20)</f>
        <v/>
      </c>
    </row>
    <row r="21">
      <c r="A21" s="33" t="n"/>
      <c r="B21" s="33" t="n"/>
      <c r="C21" s="35">
        <f>IF(B21="","",B21/SUM($B$7:$B$46))</f>
        <v/>
      </c>
      <c r="D21" s="40">
        <f>IF(B21="","",SUM($B$7:B21))</f>
        <v/>
      </c>
      <c r="E21" s="40">
        <f>IF(B21="","",A21*B21)</f>
        <v/>
      </c>
      <c r="F21" s="40">
        <f>IF(B21="","",A21^2*B21)</f>
        <v/>
      </c>
    </row>
    <row r="22">
      <c r="A22" s="33" t="n"/>
      <c r="B22" s="33" t="n"/>
      <c r="C22" s="35">
        <f>IF(B22="","",B22/SUM($B$7:$B$46))</f>
        <v/>
      </c>
      <c r="D22" s="40">
        <f>IF(B22="","",SUM($B$7:B22))</f>
        <v/>
      </c>
      <c r="E22" s="40">
        <f>IF(B22="","",A22*B22)</f>
        <v/>
      </c>
      <c r="F22" s="40">
        <f>IF(B22="","",A22^2*B22)</f>
        <v/>
      </c>
    </row>
    <row r="23">
      <c r="A23" s="33" t="n"/>
      <c r="B23" s="33" t="n"/>
      <c r="C23" s="35">
        <f>IF(B23="","",B23/SUM($B$7:$B$46))</f>
        <v/>
      </c>
      <c r="D23" s="40">
        <f>IF(B23="","",SUM($B$7:B23))</f>
        <v/>
      </c>
      <c r="E23" s="40">
        <f>IF(B23="","",A23*B23)</f>
        <v/>
      </c>
      <c r="F23" s="40">
        <f>IF(B23="","",A23^2*B23)</f>
        <v/>
      </c>
    </row>
    <row r="24">
      <c r="A24" s="33" t="n"/>
      <c r="B24" s="33" t="n"/>
      <c r="C24" s="35">
        <f>IF(B24="","",B24/SUM($B$7:$B$46))</f>
        <v/>
      </c>
      <c r="D24" s="40">
        <f>IF(B24="","",SUM($B$7:B24))</f>
        <v/>
      </c>
      <c r="E24" s="40">
        <f>IF(B24="","",A24*B24)</f>
        <v/>
      </c>
      <c r="F24" s="40">
        <f>IF(B24="","",A24^2*B24)</f>
        <v/>
      </c>
    </row>
    <row r="25">
      <c r="A25" s="33" t="n"/>
      <c r="B25" s="33" t="n"/>
      <c r="C25" s="35">
        <f>IF(B25="","",B25/SUM($B$7:$B$46))</f>
        <v/>
      </c>
      <c r="D25" s="40">
        <f>IF(B25="","",SUM($B$7:B25))</f>
        <v/>
      </c>
      <c r="E25" s="40">
        <f>IF(B25="","",A25*B25)</f>
        <v/>
      </c>
      <c r="F25" s="40">
        <f>IF(B25="","",A25^2*B25)</f>
        <v/>
      </c>
    </row>
    <row r="26">
      <c r="A26" s="33" t="n"/>
      <c r="B26" s="33" t="n"/>
      <c r="C26" s="35">
        <f>IF(B26="","",B26/SUM($B$7:$B$46))</f>
        <v/>
      </c>
      <c r="D26" s="40">
        <f>IF(B26="","",SUM($B$7:B26))</f>
        <v/>
      </c>
      <c r="E26" s="40">
        <f>IF(B26="","",A26*B26)</f>
        <v/>
      </c>
      <c r="F26" s="40">
        <f>IF(B26="","",A26^2*B26)</f>
        <v/>
      </c>
    </row>
    <row r="27">
      <c r="A27" s="33" t="n"/>
      <c r="B27" s="33" t="n"/>
      <c r="C27" s="35">
        <f>IF(B27="","",B27/SUM($B$7:$B$46))</f>
        <v/>
      </c>
      <c r="D27" s="40">
        <f>IF(B27="","",SUM($B$7:B27))</f>
        <v/>
      </c>
      <c r="E27" s="40">
        <f>IF(B27="","",A27*B27)</f>
        <v/>
      </c>
      <c r="F27" s="40">
        <f>IF(B27="","",A27^2*B27)</f>
        <v/>
      </c>
    </row>
    <row r="28">
      <c r="A28" s="33" t="n"/>
      <c r="B28" s="33" t="n"/>
      <c r="C28" s="35">
        <f>IF(B28="","",B28/SUM($B$7:$B$46))</f>
        <v/>
      </c>
      <c r="D28" s="40">
        <f>IF(B28="","",SUM($B$7:B28))</f>
        <v/>
      </c>
      <c r="E28" s="40">
        <f>IF(B28="","",A28*B28)</f>
        <v/>
      </c>
      <c r="F28" s="40">
        <f>IF(B28="","",A28^2*B28)</f>
        <v/>
      </c>
    </row>
    <row r="29">
      <c r="A29" s="33" t="n"/>
      <c r="B29" s="33" t="n"/>
      <c r="C29" s="35">
        <f>IF(B29="","",B29/SUM($B$7:$B$46))</f>
        <v/>
      </c>
      <c r="D29" s="40">
        <f>IF(B29="","",SUM($B$7:B29))</f>
        <v/>
      </c>
      <c r="E29" s="40">
        <f>IF(B29="","",A29*B29)</f>
        <v/>
      </c>
      <c r="F29" s="40">
        <f>IF(B29="","",A29^2*B29)</f>
        <v/>
      </c>
    </row>
    <row r="30">
      <c r="A30" s="33" t="n"/>
      <c r="B30" s="33" t="n"/>
      <c r="C30" s="35">
        <f>IF(B30="","",B30/SUM($B$7:$B$46))</f>
        <v/>
      </c>
      <c r="D30" s="40">
        <f>IF(B30="","",SUM($B$7:B30))</f>
        <v/>
      </c>
      <c r="E30" s="40">
        <f>IF(B30="","",A30*B30)</f>
        <v/>
      </c>
      <c r="F30" s="40">
        <f>IF(B30="","",A30^2*B30)</f>
        <v/>
      </c>
    </row>
    <row r="31">
      <c r="A31" s="33" t="n"/>
      <c r="B31" s="33" t="n"/>
      <c r="C31" s="35">
        <f>IF(B31="","",B31/SUM($B$7:$B$46))</f>
        <v/>
      </c>
      <c r="D31" s="40">
        <f>IF(B31="","",SUM($B$7:B31))</f>
        <v/>
      </c>
      <c r="E31" s="40">
        <f>IF(B31="","",A31*B31)</f>
        <v/>
      </c>
      <c r="F31" s="40">
        <f>IF(B31="","",A31^2*B31)</f>
        <v/>
      </c>
    </row>
    <row r="32">
      <c r="A32" s="33" t="n"/>
      <c r="B32" s="33" t="n"/>
      <c r="C32" s="35">
        <f>IF(B32="","",B32/SUM($B$7:$B$46))</f>
        <v/>
      </c>
      <c r="D32" s="40">
        <f>IF(B32="","",SUM($B$7:B32))</f>
        <v/>
      </c>
      <c r="E32" s="40">
        <f>IF(B32="","",A32*B32)</f>
        <v/>
      </c>
      <c r="F32" s="40">
        <f>IF(B32="","",A32^2*B32)</f>
        <v/>
      </c>
    </row>
    <row r="33">
      <c r="A33" s="33" t="n"/>
      <c r="B33" s="33" t="n"/>
      <c r="C33" s="35">
        <f>IF(B33="","",B33/SUM($B$7:$B$46))</f>
        <v/>
      </c>
      <c r="D33" s="40">
        <f>IF(B33="","",SUM($B$7:B33))</f>
        <v/>
      </c>
      <c r="E33" s="40">
        <f>IF(B33="","",A33*B33)</f>
        <v/>
      </c>
      <c r="F33" s="40">
        <f>IF(B33="","",A33^2*B33)</f>
        <v/>
      </c>
    </row>
    <row r="34">
      <c r="A34" s="33" t="n"/>
      <c r="B34" s="33" t="n"/>
      <c r="C34" s="35">
        <f>IF(B34="","",B34/SUM($B$7:$B$46))</f>
        <v/>
      </c>
      <c r="D34" s="40">
        <f>IF(B34="","",SUM($B$7:B34))</f>
        <v/>
      </c>
      <c r="E34" s="40">
        <f>IF(B34="","",A34*B34)</f>
        <v/>
      </c>
      <c r="F34" s="40">
        <f>IF(B34="","",A34^2*B34)</f>
        <v/>
      </c>
    </row>
    <row r="35">
      <c r="A35" s="33" t="n"/>
      <c r="B35" s="33" t="n"/>
      <c r="C35" s="35">
        <f>IF(B35="","",B35/SUM($B$7:$B$46))</f>
        <v/>
      </c>
      <c r="D35" s="40">
        <f>IF(B35="","",SUM($B$7:B35))</f>
        <v/>
      </c>
      <c r="E35" s="40">
        <f>IF(B35="","",A35*B35)</f>
        <v/>
      </c>
      <c r="F35" s="40">
        <f>IF(B35="","",A35^2*B35)</f>
        <v/>
      </c>
    </row>
    <row r="36">
      <c r="A36" s="33" t="n"/>
      <c r="B36" s="33" t="n"/>
      <c r="C36" s="35">
        <f>IF(B36="","",B36/SUM($B$7:$B$46))</f>
        <v/>
      </c>
      <c r="D36" s="40">
        <f>IF(B36="","",SUM($B$7:B36))</f>
        <v/>
      </c>
      <c r="E36" s="40">
        <f>IF(B36="","",A36*B36)</f>
        <v/>
      </c>
      <c r="F36" s="40">
        <f>IF(B36="","",A36^2*B36)</f>
        <v/>
      </c>
    </row>
    <row r="37">
      <c r="A37" s="33" t="n"/>
      <c r="B37" s="33" t="n"/>
      <c r="C37" s="35">
        <f>IF(B37="","",B37/SUM($B$7:$B$46))</f>
        <v/>
      </c>
      <c r="D37" s="40">
        <f>IF(B37="","",SUM($B$7:B37))</f>
        <v/>
      </c>
      <c r="E37" s="40">
        <f>IF(B37="","",A37*B37)</f>
        <v/>
      </c>
      <c r="F37" s="40">
        <f>IF(B37="","",A37^2*B37)</f>
        <v/>
      </c>
    </row>
    <row r="38">
      <c r="A38" s="33" t="n"/>
      <c r="B38" s="33" t="n"/>
      <c r="C38" s="35">
        <f>IF(B38="","",B38/SUM($B$7:$B$46))</f>
        <v/>
      </c>
      <c r="D38" s="40">
        <f>IF(B38="","",SUM($B$7:B38))</f>
        <v/>
      </c>
      <c r="E38" s="40">
        <f>IF(B38="","",A38*B38)</f>
        <v/>
      </c>
      <c r="F38" s="40">
        <f>IF(B38="","",A38^2*B38)</f>
        <v/>
      </c>
    </row>
    <row r="39">
      <c r="A39" s="33" t="n"/>
      <c r="B39" s="33" t="n"/>
      <c r="C39" s="35">
        <f>IF(B39="","",B39/SUM($B$7:$B$46))</f>
        <v/>
      </c>
      <c r="D39" s="40">
        <f>IF(B39="","",SUM($B$7:B39))</f>
        <v/>
      </c>
      <c r="E39" s="40">
        <f>IF(B39="","",A39*B39)</f>
        <v/>
      </c>
      <c r="F39" s="40">
        <f>IF(B39="","",A39^2*B39)</f>
        <v/>
      </c>
    </row>
    <row r="40">
      <c r="A40" s="33" t="n"/>
      <c r="B40" s="33" t="n"/>
      <c r="C40" s="35">
        <f>IF(B40="","",B40/SUM($B$7:$B$46))</f>
        <v/>
      </c>
      <c r="D40" s="40">
        <f>IF(B40="","",SUM($B$7:B40))</f>
        <v/>
      </c>
      <c r="E40" s="40">
        <f>IF(B40="","",A40*B40)</f>
        <v/>
      </c>
      <c r="F40" s="40">
        <f>IF(B40="","",A40^2*B40)</f>
        <v/>
      </c>
    </row>
    <row r="41">
      <c r="A41" s="33" t="n"/>
      <c r="B41" s="33" t="n"/>
      <c r="C41" s="35">
        <f>IF(B41="","",B41/SUM($B$7:$B$46))</f>
        <v/>
      </c>
      <c r="D41" s="40">
        <f>IF(B41="","",SUM($B$7:B41))</f>
        <v/>
      </c>
      <c r="E41" s="40">
        <f>IF(B41="","",A41*B41)</f>
        <v/>
      </c>
      <c r="F41" s="40">
        <f>IF(B41="","",A41^2*B41)</f>
        <v/>
      </c>
    </row>
    <row r="42">
      <c r="A42" s="33" t="n"/>
      <c r="B42" s="33" t="n"/>
      <c r="C42" s="35">
        <f>IF(B42="","",B42/SUM($B$7:$B$46))</f>
        <v/>
      </c>
      <c r="D42" s="40">
        <f>IF(B42="","",SUM($B$7:B42))</f>
        <v/>
      </c>
      <c r="E42" s="40">
        <f>IF(B42="","",A42*B42)</f>
        <v/>
      </c>
      <c r="F42" s="40">
        <f>IF(B42="","",A42^2*B42)</f>
        <v/>
      </c>
    </row>
    <row r="43">
      <c r="A43" s="33" t="n"/>
      <c r="B43" s="33" t="n"/>
      <c r="C43" s="35">
        <f>IF(B43="","",B43/SUM($B$7:$B$46))</f>
        <v/>
      </c>
      <c r="D43" s="40">
        <f>IF(B43="","",SUM($B$7:B43))</f>
        <v/>
      </c>
      <c r="E43" s="40">
        <f>IF(B43="","",A43*B43)</f>
        <v/>
      </c>
      <c r="F43" s="40">
        <f>IF(B43="","",A43^2*B43)</f>
        <v/>
      </c>
    </row>
    <row r="44">
      <c r="A44" s="33" t="n"/>
      <c r="B44" s="33" t="n"/>
      <c r="C44" s="35">
        <f>IF(B44="","",B44/SUM($B$7:$B$46))</f>
        <v/>
      </c>
      <c r="D44" s="40">
        <f>IF(B44="","",SUM($B$7:B44))</f>
        <v/>
      </c>
      <c r="E44" s="40">
        <f>IF(B44="","",A44*B44)</f>
        <v/>
      </c>
      <c r="F44" s="40">
        <f>IF(B44="","",A44^2*B44)</f>
        <v/>
      </c>
    </row>
    <row r="45">
      <c r="A45" s="33" t="n"/>
      <c r="B45" s="33" t="n"/>
      <c r="C45" s="35">
        <f>IF(B45="","",B45/SUM($B$7:$B$46))</f>
        <v/>
      </c>
      <c r="D45" s="40">
        <f>IF(B45="","",SUM($B$7:B45))</f>
        <v/>
      </c>
      <c r="E45" s="40">
        <f>IF(B45="","",A45*B45)</f>
        <v/>
      </c>
      <c r="F45" s="40">
        <f>IF(B45="","",A45^2*B45)</f>
        <v/>
      </c>
    </row>
    <row r="46">
      <c r="A46" s="33" t="n"/>
      <c r="B46" s="33" t="n"/>
      <c r="C46" s="35">
        <f>IF(B46="","",B46/SUM($B$7:$B$46))</f>
        <v/>
      </c>
      <c r="D46" s="40">
        <f>IF(B46="","",SUM($B$7:B46))</f>
        <v/>
      </c>
      <c r="E46" s="40">
        <f>IF(B46="","",A46*B46)</f>
        <v/>
      </c>
      <c r="F46" s="40">
        <f>IF(B46="","",A46^2*B46)</f>
        <v/>
      </c>
    </row>
  </sheetData>
  <hyperlinks>
    <hyperlink ref="J1" location="'Inicio'!A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F5FD0"/>
    <outlinePr summaryBelow="1" summaryRight="1"/>
    <pageSetUpPr/>
  </sheetPr>
  <dimension ref="A1:M21"/>
  <sheetViews>
    <sheetView tabSelected="0" zoomScale="115"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10" customWidth="1" min="4" max="4"/>
    <col width="10" customWidth="1" min="5" max="5"/>
    <col width="10" customWidth="1" min="6" max="6"/>
    <col width="12" customWidth="1" min="7" max="7"/>
    <col width="14" customWidth="1" min="8" max="8"/>
    <col width="10" customWidth="1" min="9" max="9"/>
    <col width="10" customWidth="1" min="10" max="10"/>
    <col width="3" customWidth="1" min="11" max="11"/>
    <col width="40" customWidth="1" min="12" max="12"/>
    <col width="16" customWidth="1" min="13" max="13"/>
  </cols>
  <sheetData>
    <row r="1" ht="30" customHeight="1">
      <c r="A1" s="27" t="inlineStr">
        <is>
          <t>C · Datos agrupados en intervalos</t>
        </is>
      </c>
      <c r="B1" s="12" t="n"/>
      <c r="C1" s="12" t="n"/>
      <c r="D1" s="12" t="n"/>
      <c r="E1" s="12" t="n"/>
      <c r="F1" s="12" t="n"/>
      <c r="G1" s="12" t="n"/>
      <c r="H1" s="12" t="n"/>
      <c r="J1" s="20" t="inlineStr">
        <is>
          <t>← Volver al inicio</t>
        </is>
      </c>
    </row>
    <row r="2">
      <c r="A2" s="2" t="inlineStr">
        <is>
          <t>Escribe el extremo inferior, el superior y la frecuencia de cada intervalo (en orden).</t>
        </is>
      </c>
    </row>
    <row r="3">
      <c r="A3" s="28" t="inlineStr">
        <is>
          <t>Sirve con amplitudes iguales o distintas: la moda usa densidades. Si te dan %, escríbelos como frecuencias (la media sale igual).</t>
        </is>
      </c>
    </row>
    <row r="4">
      <c r="A4" s="29" t="inlineStr">
        <is>
          <t>Amarillo: escribe o pega aquí tus datos.  Verde: resultados (no los toques).</t>
        </is>
      </c>
    </row>
    <row r="5">
      <c r="L5" s="30" t="inlineStr">
        <is>
          <t>Percentil que quieres (tanto por uno) →</t>
        </is>
      </c>
      <c r="M5" s="31" t="n">
        <v>0.9</v>
      </c>
    </row>
    <row r="6">
      <c r="A6" s="21" t="inlineStr">
        <is>
          <t>L inf</t>
        </is>
      </c>
      <c r="B6" s="21" t="inlineStr">
        <is>
          <t>L sup</t>
        </is>
      </c>
      <c r="C6" s="21" t="inlineStr">
        <is>
          <t>nᵢ</t>
        </is>
      </c>
      <c r="D6" s="21" t="inlineStr">
        <is>
          <t>Marca xᵢ</t>
        </is>
      </c>
      <c r="E6" s="21" t="inlineStr">
        <is>
          <t>Amplitud</t>
        </is>
      </c>
      <c r="F6" s="21" t="inlineStr">
        <is>
          <t>Densidad</t>
        </is>
      </c>
      <c r="G6" s="21" t="inlineStr">
        <is>
          <t>xᵢ·nᵢ</t>
        </is>
      </c>
      <c r="H6" s="21" t="inlineStr">
        <is>
          <t>xᵢ²·nᵢ</t>
        </is>
      </c>
      <c r="I6" s="21" t="inlineStr">
        <is>
          <t>Nᵢ</t>
        </is>
      </c>
      <c r="J6" s="21" t="inlineStr">
        <is>
          <t>fᵢ</t>
        </is>
      </c>
    </row>
    <row r="7">
      <c r="A7" s="33" t="n"/>
      <c r="B7" s="33" t="n"/>
      <c r="C7" s="33" t="n"/>
      <c r="D7" s="40">
        <f>IF(C7="","",(A7+B7)/2)</f>
        <v/>
      </c>
      <c r="E7" s="40">
        <f>IF(C7="","",B7-A7)</f>
        <v/>
      </c>
      <c r="F7" s="40">
        <f>IF(C7="","",C7/E7)</f>
        <v/>
      </c>
      <c r="G7" s="40">
        <f>IF(C7="","",D7*C7)</f>
        <v/>
      </c>
      <c r="H7" s="40">
        <f>IF(C7="","",D7^2*C7)</f>
        <v/>
      </c>
      <c r="I7" s="40">
        <f>IF(C7="","",SUM($C$7:C7))</f>
        <v/>
      </c>
      <c r="J7" s="40">
        <f>IF(C7="","",C7/SUM($C$7:$C$21))</f>
        <v/>
      </c>
      <c r="L7" s="32" t="inlineStr">
        <is>
          <t>n</t>
        </is>
      </c>
      <c r="M7" s="41">
        <f>IFERROR(SUM($C$7:$C$21),"")</f>
        <v/>
      </c>
    </row>
    <row r="8">
      <c r="A8" s="33" t="n"/>
      <c r="B8" s="33" t="n"/>
      <c r="C8" s="33" t="n"/>
      <c r="D8" s="40">
        <f>IF(C8="","",(A8+B8)/2)</f>
        <v/>
      </c>
      <c r="E8" s="40">
        <f>IF(C8="","",B8-A8)</f>
        <v/>
      </c>
      <c r="F8" s="40">
        <f>IF(C8="","",C8/E8)</f>
        <v/>
      </c>
      <c r="G8" s="40">
        <f>IF(C8="","",D8*C8)</f>
        <v/>
      </c>
      <c r="H8" s="40">
        <f>IF(C8="","",D8^2*C8)</f>
        <v/>
      </c>
      <c r="I8" s="40">
        <f>IF(C8="","",SUM($C$7:C8))</f>
        <v/>
      </c>
      <c r="J8" s="40">
        <f>IF(C8="","",C8/SUM($C$7:$C$21))</f>
        <v/>
      </c>
      <c r="L8" s="32" t="inlineStr">
        <is>
          <t>Media</t>
        </is>
      </c>
      <c r="M8" s="38">
        <f>IFERROR(SUM(G7:G21)/SUM($C$7:$C$21),"")</f>
        <v/>
      </c>
    </row>
    <row r="9">
      <c r="A9" s="33" t="n"/>
      <c r="B9" s="33" t="n"/>
      <c r="C9" s="33" t="n"/>
      <c r="D9" s="40">
        <f>IF(C9="","",(A9+B9)/2)</f>
        <v/>
      </c>
      <c r="E9" s="40">
        <f>IF(C9="","",B9-A9)</f>
        <v/>
      </c>
      <c r="F9" s="40">
        <f>IF(C9="","",C9/E9)</f>
        <v/>
      </c>
      <c r="G9" s="40">
        <f>IF(C9="","",D9*C9)</f>
        <v/>
      </c>
      <c r="H9" s="40">
        <f>IF(C9="","",D9^2*C9)</f>
        <v/>
      </c>
      <c r="I9" s="40">
        <f>IF(C9="","",SUM($C$7:C9))</f>
        <v/>
      </c>
      <c r="J9" s="40">
        <f>IF(C9="","",C9/SUM($C$7:$C$21))</f>
        <v/>
      </c>
      <c r="L9" s="32" t="inlineStr">
        <is>
          <t>Varianza S²</t>
        </is>
      </c>
      <c r="M9" s="38">
        <f>IFERROR(SUM(H7:H21)/SUM($C$7:$C$21)-M8^2,"")</f>
        <v/>
      </c>
    </row>
    <row r="10">
      <c r="A10" s="33" t="n"/>
      <c r="B10" s="33" t="n"/>
      <c r="C10" s="33" t="n"/>
      <c r="D10" s="40">
        <f>IF(C10="","",(A10+B10)/2)</f>
        <v/>
      </c>
      <c r="E10" s="40">
        <f>IF(C10="","",B10-A10)</f>
        <v/>
      </c>
      <c r="F10" s="40">
        <f>IF(C10="","",C10/E10)</f>
        <v/>
      </c>
      <c r="G10" s="40">
        <f>IF(C10="","",D10*C10)</f>
        <v/>
      </c>
      <c r="H10" s="40">
        <f>IF(C10="","",D10^2*C10)</f>
        <v/>
      </c>
      <c r="I10" s="40">
        <f>IF(C10="","",SUM($C$7:C10))</f>
        <v/>
      </c>
      <c r="J10" s="40">
        <f>IF(C10="","",C10/SUM($C$7:$C$21))</f>
        <v/>
      </c>
      <c r="L10" s="32" t="inlineStr">
        <is>
          <t>Desviación típica S</t>
        </is>
      </c>
      <c r="M10" s="38">
        <f>IFERROR(SQRT(M9),"")</f>
        <v/>
      </c>
    </row>
    <row r="11">
      <c r="A11" s="33" t="n"/>
      <c r="B11" s="33" t="n"/>
      <c r="C11" s="33" t="n"/>
      <c r="D11" s="40">
        <f>IF(C11="","",(A11+B11)/2)</f>
        <v/>
      </c>
      <c r="E11" s="40">
        <f>IF(C11="","",B11-A11)</f>
        <v/>
      </c>
      <c r="F11" s="40">
        <f>IF(C11="","",C11/E11)</f>
        <v/>
      </c>
      <c r="G11" s="40">
        <f>IF(C11="","",D11*C11)</f>
        <v/>
      </c>
      <c r="H11" s="40">
        <f>IF(C11="","",D11^2*C11)</f>
        <v/>
      </c>
      <c r="I11" s="40">
        <f>IF(C11="","",SUM($C$7:C11))</f>
        <v/>
      </c>
      <c r="J11" s="40">
        <f>IF(C11="","",C11/SUM($C$7:$C$21))</f>
        <v/>
      </c>
      <c r="L11" s="32" t="inlineStr">
        <is>
          <t>Cuasivarianza s²</t>
        </is>
      </c>
      <c r="M11" s="38">
        <f>IFERROR(M9*SUM($C$7:$C$21)/(SUM($C$7:$C$21)-1),"")</f>
        <v/>
      </c>
    </row>
    <row r="12">
      <c r="A12" s="33" t="n"/>
      <c r="B12" s="33" t="n"/>
      <c r="C12" s="33" t="n"/>
      <c r="D12" s="40">
        <f>IF(C12="","",(A12+B12)/2)</f>
        <v/>
      </c>
      <c r="E12" s="40">
        <f>IF(C12="","",B12-A12)</f>
        <v/>
      </c>
      <c r="F12" s="40">
        <f>IF(C12="","",C12/E12)</f>
        <v/>
      </c>
      <c r="G12" s="40">
        <f>IF(C12="","",D12*C12)</f>
        <v/>
      </c>
      <c r="H12" s="40">
        <f>IF(C12="","",D12^2*C12)</f>
        <v/>
      </c>
      <c r="I12" s="40">
        <f>IF(C12="","",SUM($C$7:C12))</f>
        <v/>
      </c>
      <c r="J12" s="40">
        <f>IF(C12="","",C12/SUM($C$7:$C$21))</f>
        <v/>
      </c>
      <c r="L12" s="32" t="inlineStr">
        <is>
          <t>Coeficiente de variación</t>
        </is>
      </c>
      <c r="M12" s="38">
        <f>IFERROR(M10/M8,"")</f>
        <v/>
      </c>
    </row>
    <row r="13">
      <c r="A13" s="33" t="n"/>
      <c r="B13" s="33" t="n"/>
      <c r="C13" s="33" t="n"/>
      <c r="D13" s="40">
        <f>IF(C13="","",(A13+B13)/2)</f>
        <v/>
      </c>
      <c r="E13" s="40">
        <f>IF(C13="","",B13-A13)</f>
        <v/>
      </c>
      <c r="F13" s="40">
        <f>IF(C13="","",C13/E13)</f>
        <v/>
      </c>
      <c r="G13" s="40">
        <f>IF(C13="","",D13*C13)</f>
        <v/>
      </c>
      <c r="H13" s="40">
        <f>IF(C13="","",D13^2*C13)</f>
        <v/>
      </c>
      <c r="I13" s="40">
        <f>IF(C13="","",SUM($C$7:C13))</f>
        <v/>
      </c>
      <c r="J13" s="40">
        <f>IF(C13="","",C13/SUM($C$7:$C$21))</f>
        <v/>
      </c>
      <c r="L13" s="32" t="inlineStr">
        <is>
          <t>Intervalo modal (fila de la tabla)</t>
        </is>
      </c>
      <c r="M13" s="41">
        <f>IFERROR(MATCH(MAX($F$7:$F$21),$F$7:$F$21,0),"")</f>
        <v/>
      </c>
    </row>
    <row r="14">
      <c r="A14" s="33" t="n"/>
      <c r="B14" s="33" t="n"/>
      <c r="C14" s="33" t="n"/>
      <c r="D14" s="40">
        <f>IF(C14="","",(A14+B14)/2)</f>
        <v/>
      </c>
      <c r="E14" s="40">
        <f>IF(C14="","",B14-A14)</f>
        <v/>
      </c>
      <c r="F14" s="40">
        <f>IF(C14="","",C14/E14)</f>
        <v/>
      </c>
      <c r="G14" s="40">
        <f>IF(C14="","",D14*C14)</f>
        <v/>
      </c>
      <c r="H14" s="40">
        <f>IF(C14="","",D14^2*C14)</f>
        <v/>
      </c>
      <c r="I14" s="40">
        <f>IF(C14="","",SUM($C$7:C14))</f>
        <v/>
      </c>
      <c r="J14" s="40">
        <f>IF(C14="","",C14/SUM($C$7:$C$21))</f>
        <v/>
      </c>
      <c r="L14" s="32" t="inlineStr">
        <is>
          <t>Moda</t>
        </is>
      </c>
      <c r="M14" s="38">
        <f>IFERROR(INDEX($A$7:$A$21,MATCH(MAX($F$7:$F$21),$F$7:$F$21,0))+(INDEX($F$7:$F$21,MATCH(MAX($F$7:$F$21),$F$7:$F$21,0))-IF(MATCH(MAX($F$7:$F$21),$F$7:$F$21,0)=1,0,INDEX($F$7:$F$21,MATCH(MAX($F$7:$F$21),$F$7:$F$21,0)-1)))/((INDEX($F$7:$F$21,MATCH(MAX($F$7:$F$21),$F$7:$F$21,0))-IF(MATCH(MAX($F$7:$F$21),$F$7:$F$21,0)=1,0,INDEX($F$7:$F$21,MATCH(MAX($F$7:$F$21),$F$7:$F$21,0)-1)))+(INDEX($F$7:$F$21,MATCH(MAX($F$7:$F$21),$F$7:$F$21,0))-IF(MATCH(MAX($F$7:$F$21),$F$7:$F$21,0)=COUNT($C$7:$C$21),0,INDEX($F$7:$F$21,MATCH(MAX($F$7:$F$21),$F$7:$F$21,0)+1))))*INDEX($E$7:$E$21,MATCH(MAX($F$7:$F$21),$F$7:$F$21,0)),"")</f>
        <v/>
      </c>
    </row>
    <row r="15">
      <c r="A15" s="33" t="n"/>
      <c r="B15" s="33" t="n"/>
      <c r="C15" s="33" t="n"/>
      <c r="D15" s="40">
        <f>IF(C15="","",(A15+B15)/2)</f>
        <v/>
      </c>
      <c r="E15" s="40">
        <f>IF(C15="","",B15-A15)</f>
        <v/>
      </c>
      <c r="F15" s="40">
        <f>IF(C15="","",C15/E15)</f>
        <v/>
      </c>
      <c r="G15" s="40">
        <f>IF(C15="","",D15*C15)</f>
        <v/>
      </c>
      <c r="H15" s="40">
        <f>IF(C15="","",D15^2*C15)</f>
        <v/>
      </c>
      <c r="I15" s="40">
        <f>IF(C15="","",SUM($C$7:C15))</f>
        <v/>
      </c>
      <c r="J15" s="40">
        <f>IF(C15="","",C15/SUM($C$7:$C$21))</f>
        <v/>
      </c>
      <c r="L15" s="32" t="inlineStr">
        <is>
          <t>Mediana</t>
        </is>
      </c>
      <c r="M15" s="38">
        <f>IFERROR(INDEX($A$7:$A$21,(COUNTIF($I$7:$I$21,"&lt;"&amp;0.5*SUM($C$7:$C$21)-1E-9)+1))+(0.5*SUM($C$7:$C$21)-IF((COUNTIF($I$7:$I$21,"&lt;"&amp;0.5*SUM($C$7:$C$21)-1E-9)+1)=1,0,INDEX($I$7:$I$21,(COUNTIF($I$7:$I$21,"&lt;"&amp;0.5*SUM($C$7:$C$21)-1E-9)+1)-1)))/INDEX($C$7:$C$21,(COUNTIF($I$7:$I$21,"&lt;"&amp;0.5*SUM($C$7:$C$21)-1E-9)+1))*INDEX($E$7:$E$21,(COUNTIF($I$7:$I$21,"&lt;"&amp;0.5*SUM($C$7:$C$21)-1E-9)+1)),"")</f>
        <v/>
      </c>
    </row>
    <row r="16">
      <c r="A16" s="33" t="n"/>
      <c r="B16" s="33" t="n"/>
      <c r="C16" s="33" t="n"/>
      <c r="D16" s="40">
        <f>IF(C16="","",(A16+B16)/2)</f>
        <v/>
      </c>
      <c r="E16" s="40">
        <f>IF(C16="","",B16-A16)</f>
        <v/>
      </c>
      <c r="F16" s="40">
        <f>IF(C16="","",C16/E16)</f>
        <v/>
      </c>
      <c r="G16" s="40">
        <f>IF(C16="","",D16*C16)</f>
        <v/>
      </c>
      <c r="H16" s="40">
        <f>IF(C16="","",D16^2*C16)</f>
        <v/>
      </c>
      <c r="I16" s="40">
        <f>IF(C16="","",SUM($C$7:C16))</f>
        <v/>
      </c>
      <c r="J16" s="40">
        <f>IF(C16="","",C16/SUM($C$7:$C$21))</f>
        <v/>
      </c>
      <c r="L16" s="32" t="inlineStr">
        <is>
          <t>C₁</t>
        </is>
      </c>
      <c r="M16" s="38">
        <f>IFERROR(INDEX($A$7:$A$21,(COUNTIF($I$7:$I$21,"&lt;"&amp;0.25*SUM($C$7:$C$21)-1E-9)+1))+(0.25*SUM($C$7:$C$21)-IF((COUNTIF($I$7:$I$21,"&lt;"&amp;0.25*SUM($C$7:$C$21)-1E-9)+1)=1,0,INDEX($I$7:$I$21,(COUNTIF($I$7:$I$21,"&lt;"&amp;0.25*SUM($C$7:$C$21)-1E-9)+1)-1)))/INDEX($C$7:$C$21,(COUNTIF($I$7:$I$21,"&lt;"&amp;0.25*SUM($C$7:$C$21)-1E-9)+1))*INDEX($E$7:$E$21,(COUNTIF($I$7:$I$21,"&lt;"&amp;0.25*SUM($C$7:$C$21)-1E-9)+1)),"")</f>
        <v/>
      </c>
    </row>
    <row r="17">
      <c r="A17" s="33" t="n"/>
      <c r="B17" s="33" t="n"/>
      <c r="C17" s="33" t="n"/>
      <c r="D17" s="40">
        <f>IF(C17="","",(A17+B17)/2)</f>
        <v/>
      </c>
      <c r="E17" s="40">
        <f>IF(C17="","",B17-A17)</f>
        <v/>
      </c>
      <c r="F17" s="40">
        <f>IF(C17="","",C17/E17)</f>
        <v/>
      </c>
      <c r="G17" s="40">
        <f>IF(C17="","",D17*C17)</f>
        <v/>
      </c>
      <c r="H17" s="40">
        <f>IF(C17="","",D17^2*C17)</f>
        <v/>
      </c>
      <c r="I17" s="40">
        <f>IF(C17="","",SUM($C$7:C17))</f>
        <v/>
      </c>
      <c r="J17" s="40">
        <f>IF(C17="","",C17/SUM($C$7:$C$21))</f>
        <v/>
      </c>
      <c r="L17" s="32" t="inlineStr">
        <is>
          <t>C₃</t>
        </is>
      </c>
      <c r="M17" s="38">
        <f>IFERROR(INDEX($A$7:$A$21,(COUNTIF($I$7:$I$21,"&lt;"&amp;0.75*SUM($C$7:$C$21)-1E-9)+1))+(0.75*SUM($C$7:$C$21)-IF((COUNTIF($I$7:$I$21,"&lt;"&amp;0.75*SUM($C$7:$C$21)-1E-9)+1)=1,0,INDEX($I$7:$I$21,(COUNTIF($I$7:$I$21,"&lt;"&amp;0.75*SUM($C$7:$C$21)-1E-9)+1)-1)))/INDEX($C$7:$C$21,(COUNTIF($I$7:$I$21,"&lt;"&amp;0.75*SUM($C$7:$C$21)-1E-9)+1))*INDEX($E$7:$E$21,(COUNTIF($I$7:$I$21,"&lt;"&amp;0.75*SUM($C$7:$C$21)-1E-9)+1)),"")</f>
        <v/>
      </c>
    </row>
    <row r="18">
      <c r="A18" s="33" t="n"/>
      <c r="B18" s="33" t="n"/>
      <c r="C18" s="33" t="n"/>
      <c r="D18" s="40">
        <f>IF(C18="","",(A18+B18)/2)</f>
        <v/>
      </c>
      <c r="E18" s="40">
        <f>IF(C18="","",B18-A18)</f>
        <v/>
      </c>
      <c r="F18" s="40">
        <f>IF(C18="","",C18/E18)</f>
        <v/>
      </c>
      <c r="G18" s="40">
        <f>IF(C18="","",D18*C18)</f>
        <v/>
      </c>
      <c r="H18" s="40">
        <f>IF(C18="","",D18^2*C18)</f>
        <v/>
      </c>
      <c r="I18" s="40">
        <f>IF(C18="","",SUM($C$7:C18))</f>
        <v/>
      </c>
      <c r="J18" s="40">
        <f>IF(C18="","",C18/SUM($C$7:$C$21))</f>
        <v/>
      </c>
      <c r="L18" s="32" t="inlineStr">
        <is>
          <t>IQR</t>
        </is>
      </c>
      <c r="M18" s="38">
        <f>IFERROR(M17-M16,"")</f>
        <v/>
      </c>
    </row>
    <row r="19">
      <c r="A19" s="33" t="n"/>
      <c r="B19" s="33" t="n"/>
      <c r="C19" s="33" t="n"/>
      <c r="D19" s="40">
        <f>IF(C19="","",(A19+B19)/2)</f>
        <v/>
      </c>
      <c r="E19" s="40">
        <f>IF(C19="","",B19-A19)</f>
        <v/>
      </c>
      <c r="F19" s="40">
        <f>IF(C19="","",C19/E19)</f>
        <v/>
      </c>
      <c r="G19" s="40">
        <f>IF(C19="","",D19*C19)</f>
        <v/>
      </c>
      <c r="H19" s="40">
        <f>IF(C19="","",D19^2*C19)</f>
        <v/>
      </c>
      <c r="I19" s="40">
        <f>IF(C19="","",SUM($C$7:C19))</f>
        <v/>
      </c>
      <c r="J19" s="40">
        <f>IF(C19="","",C19/SUM($C$7:$C$21))</f>
        <v/>
      </c>
      <c r="L19" s="32" t="inlineStr">
        <is>
          <t>Percentil elegido (M5)</t>
        </is>
      </c>
      <c r="M19" s="38">
        <f>IFERROR(INDEX($A$7:$A$21,(COUNTIF($I$7:$I$21,"&lt;"&amp;M5*SUM($C$7:$C$21)-1E-9)+1))+(M5*SUM($C$7:$C$21)-IF((COUNTIF($I$7:$I$21,"&lt;"&amp;M5*SUM($C$7:$C$21)-1E-9)+1)=1,0,INDEX($I$7:$I$21,(COUNTIF($I$7:$I$21,"&lt;"&amp;M5*SUM($C$7:$C$21)-1E-9)+1)-1)))/INDEX($C$7:$C$21,(COUNTIF($I$7:$I$21,"&lt;"&amp;M5*SUM($C$7:$C$21)-1E-9)+1))*INDEX($E$7:$E$21,(COUNTIF($I$7:$I$21,"&lt;"&amp;M5*SUM($C$7:$C$21)-1E-9)+1)),"")</f>
        <v/>
      </c>
    </row>
    <row r="20">
      <c r="A20" s="33" t="n"/>
      <c r="B20" s="33" t="n"/>
      <c r="C20" s="33" t="n"/>
      <c r="D20" s="40">
        <f>IF(C20="","",(A20+B20)/2)</f>
        <v/>
      </c>
      <c r="E20" s="40">
        <f>IF(C20="","",B20-A20)</f>
        <v/>
      </c>
      <c r="F20" s="40">
        <f>IF(C20="","",C20/E20)</f>
        <v/>
      </c>
      <c r="G20" s="40">
        <f>IF(C20="","",D20*C20)</f>
        <v/>
      </c>
      <c r="H20" s="40">
        <f>IF(C20="","",D20^2*C20)</f>
        <v/>
      </c>
      <c r="I20" s="40">
        <f>IF(C20="","",SUM($C$7:C20))</f>
        <v/>
      </c>
      <c r="J20" s="40">
        <f>IF(C20="","",C20/SUM($C$7:$C$21))</f>
        <v/>
      </c>
    </row>
    <row r="21">
      <c r="A21" s="33" t="n"/>
      <c r="B21" s="33" t="n"/>
      <c r="C21" s="33" t="n"/>
      <c r="D21" s="40">
        <f>IF(C21="","",(A21+B21)/2)</f>
        <v/>
      </c>
      <c r="E21" s="40">
        <f>IF(C21="","",B21-A21)</f>
        <v/>
      </c>
      <c r="F21" s="40">
        <f>IF(C21="","",C21/E21)</f>
        <v/>
      </c>
      <c r="G21" s="40">
        <f>IF(C21="","",D21*C21)</f>
        <v/>
      </c>
      <c r="H21" s="40">
        <f>IF(C21="","",D21^2*C21)</f>
        <v/>
      </c>
      <c r="I21" s="40">
        <f>IF(C21="","",SUM($C$7:C21))</f>
        <v/>
      </c>
      <c r="J21" s="40">
        <f>IF(C21="","",C21/SUM($C$7:$C$21))</f>
        <v/>
      </c>
    </row>
  </sheetData>
  <hyperlinks>
    <hyperlink ref="J1" location="'Inicio'!A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F5FD0"/>
    <outlinePr summaryBelow="1" summaryRight="1"/>
    <pageSetUpPr/>
  </sheetPr>
  <dimension ref="A1:K14"/>
  <sheetViews>
    <sheetView tabSelected="0" zoomScale="115"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0" customWidth="1" min="8" max="8"/>
    <col width="3" customWidth="1" min="9" max="9"/>
    <col width="40" customWidth="1" min="10" max="10"/>
    <col width="16" customWidth="1" min="11" max="11"/>
  </cols>
  <sheetData>
    <row r="1" ht="30" customHeight="1">
      <c r="A1" s="27" t="inlineStr">
        <is>
          <t>D · Grupos: media global y varianza dentro / entre</t>
        </is>
      </c>
      <c r="B1" s="12" t="n"/>
      <c r="C1" s="12" t="n"/>
      <c r="D1" s="12" t="n"/>
      <c r="E1" s="12" t="n"/>
      <c r="F1" s="12" t="n"/>
      <c r="G1" s="12" t="n"/>
      <c r="H1" s="12" t="n"/>
      <c r="J1" s="20" t="inlineStr">
        <is>
          <t>← Volver al inicio</t>
        </is>
      </c>
    </row>
    <row r="2">
      <c r="A2" s="2" t="inlineStr">
        <is>
          <t>Para cada grupo: tamaño, media y desviación típica O varianza (rellena una de las dos).</t>
        </is>
      </c>
    </row>
    <row r="3">
      <c r="A3" s="28" t="inlineStr">
        <is>
          <t>Si te dan la desviación típica, déjala en la columna D y la varianza se calcula sola.</t>
        </is>
      </c>
    </row>
    <row r="4">
      <c r="A4" s="29" t="inlineStr">
        <is>
          <t>Amarillo: escribe o pega aquí tus datos.  Verde: resultados (no los toques).</t>
        </is>
      </c>
    </row>
    <row r="5"/>
    <row r="6">
      <c r="A6" s="21" t="inlineStr">
        <is>
          <t>Grupo</t>
        </is>
      </c>
      <c r="B6" s="21" t="inlineStr">
        <is>
          <t>Tamaño T</t>
        </is>
      </c>
      <c r="C6" s="21" t="inlineStr">
        <is>
          <t>Media</t>
        </is>
      </c>
      <c r="D6" s="21" t="inlineStr">
        <is>
          <t>Desv. típica</t>
        </is>
      </c>
      <c r="E6" s="21" t="inlineStr">
        <is>
          <t>Varianza (si te la dan)</t>
        </is>
      </c>
      <c r="F6" s="21" t="inlineStr">
        <is>
          <t>Varianza usada</t>
        </is>
      </c>
      <c r="G6" s="21" t="inlineStr">
        <is>
          <t>(media−global)²·T</t>
        </is>
      </c>
      <c r="H6" s="21" t="inlineStr">
        <is>
          <t>CV</t>
        </is>
      </c>
    </row>
    <row r="7">
      <c r="A7" s="33" t="n"/>
      <c r="B7" s="33" t="n"/>
      <c r="C7" s="33" t="n"/>
      <c r="D7" s="33" t="n"/>
      <c r="E7" s="33" t="n"/>
      <c r="F7" s="35">
        <f>IF(B7="","",IF(E7&lt;&gt;"",E7,D7^2))</f>
        <v/>
      </c>
      <c r="G7" s="35">
        <f>IF(B7="","",(C7-$K$7)^2*B7)</f>
        <v/>
      </c>
      <c r="H7" s="35">
        <f>IF(B7="","",SQRT(F7)/C7)</f>
        <v/>
      </c>
      <c r="J7" s="32" t="inlineStr">
        <is>
          <t>Media global</t>
        </is>
      </c>
      <c r="K7" s="38">
        <f>IFERROR(SUMPRODUCT(B7:B14,C7:C14)/SUM(B7:B14),"")</f>
        <v/>
      </c>
    </row>
    <row r="8">
      <c r="A8" s="33" t="n"/>
      <c r="B8" s="33" t="n"/>
      <c r="C8" s="33" t="n"/>
      <c r="D8" s="33" t="n"/>
      <c r="E8" s="33" t="n"/>
      <c r="F8" s="35">
        <f>IF(B8="","",IF(E8&lt;&gt;"",E8,D8^2))</f>
        <v/>
      </c>
      <c r="G8" s="35">
        <f>IF(B8="","",(C8-$K$7)^2*B8)</f>
        <v/>
      </c>
      <c r="H8" s="35">
        <f>IF(B8="","",SQRT(F8)/C8)</f>
        <v/>
      </c>
      <c r="J8" s="32" t="inlineStr">
        <is>
          <t>Varianza dentro</t>
        </is>
      </c>
      <c r="K8" s="38">
        <f>IFERROR(SUMPRODUCT(B7:B14,F7:F14)/SUM(B7:B14),"")</f>
        <v/>
      </c>
    </row>
    <row r="9">
      <c r="A9" s="33" t="n"/>
      <c r="B9" s="33" t="n"/>
      <c r="C9" s="33" t="n"/>
      <c r="D9" s="33" t="n"/>
      <c r="E9" s="33" t="n"/>
      <c r="F9" s="35">
        <f>IF(B9="","",IF(E9&lt;&gt;"",E9,D9^2))</f>
        <v/>
      </c>
      <c r="G9" s="35">
        <f>IF(B9="","",(C9-$K$7)^2*B9)</f>
        <v/>
      </c>
      <c r="H9" s="35">
        <f>IF(B9="","",SQRT(F9)/C9)</f>
        <v/>
      </c>
      <c r="J9" s="32" t="inlineStr">
        <is>
          <t>Varianza entre</t>
        </is>
      </c>
      <c r="K9" s="38">
        <f>IFERROR(SUM(G7:G14)/SUM(B7:B14),"")</f>
        <v/>
      </c>
    </row>
    <row r="10">
      <c r="A10" s="33" t="n"/>
      <c r="B10" s="33" t="n"/>
      <c r="C10" s="33" t="n"/>
      <c r="D10" s="33" t="n"/>
      <c r="E10" s="33" t="n"/>
      <c r="F10" s="35">
        <f>IF(B10="","",IF(E10&lt;&gt;"",E10,D10^2))</f>
        <v/>
      </c>
      <c r="G10" s="35">
        <f>IF(B10="","",(C10-$K$7)^2*B10)</f>
        <v/>
      </c>
      <c r="H10" s="35">
        <f>IF(B10="","",SQRT(F10)/C10)</f>
        <v/>
      </c>
      <c r="J10" s="32" t="inlineStr">
        <is>
          <t>Varianza total</t>
        </is>
      </c>
      <c r="K10" s="38">
        <f>IFERROR(K8+K9,"")</f>
        <v/>
      </c>
    </row>
    <row r="11">
      <c r="A11" s="33" t="n"/>
      <c r="B11" s="33" t="n"/>
      <c r="C11" s="33" t="n"/>
      <c r="D11" s="33" t="n"/>
      <c r="E11" s="33" t="n"/>
      <c r="F11" s="35">
        <f>IF(B11="","",IF(E11&lt;&gt;"",E11,D11^2))</f>
        <v/>
      </c>
      <c r="G11" s="35">
        <f>IF(B11="","",(C11-$K$7)^2*B11)</f>
        <v/>
      </c>
      <c r="H11" s="35">
        <f>IF(B11="","",SQRT(F11)/C11)</f>
        <v/>
      </c>
      <c r="J11" s="32" t="inlineStr">
        <is>
          <t>Desviación típica total</t>
        </is>
      </c>
      <c r="K11" s="38">
        <f>IFERROR(SQRT(K10),"")</f>
        <v/>
      </c>
    </row>
    <row r="12">
      <c r="A12" s="33" t="n"/>
      <c r="B12" s="33" t="n"/>
      <c r="C12" s="33" t="n"/>
      <c r="D12" s="33" t="n"/>
      <c r="E12" s="33" t="n"/>
      <c r="F12" s="35">
        <f>IF(B12="","",IF(E12&lt;&gt;"",E12,D12^2))</f>
        <v/>
      </c>
      <c r="G12" s="35">
        <f>IF(B12="","",(C12-$K$7)^2*B12)</f>
        <v/>
      </c>
      <c r="H12" s="35">
        <f>IF(B12="","",SQRT(F12)/C12)</f>
        <v/>
      </c>
      <c r="J12" s="32" t="inlineStr">
        <is>
          <t>% debido a diferencias entre grupos</t>
        </is>
      </c>
      <c r="K12" s="42">
        <f>IFERROR(K9/K10,"")</f>
        <v/>
      </c>
    </row>
    <row r="13">
      <c r="A13" s="33" t="n"/>
      <c r="B13" s="33" t="n"/>
      <c r="C13" s="33" t="n"/>
      <c r="D13" s="33" t="n"/>
      <c r="E13" s="33" t="n"/>
      <c r="F13" s="35">
        <f>IF(B13="","",IF(E13&lt;&gt;"",E13,D13^2))</f>
        <v/>
      </c>
      <c r="G13" s="35">
        <f>IF(B13="","",(C13-$K$7)^2*B13)</f>
        <v/>
      </c>
      <c r="H13" s="35">
        <f>IF(B13="","",SQRT(F13)/C13)</f>
        <v/>
      </c>
      <c r="J13" s="32" t="inlineStr">
        <is>
          <t>Grupo más homogéneo (menor CV)</t>
        </is>
      </c>
      <c r="K13" s="41">
        <f>IFERROR(INDEX(A7:A14,MATCH(MIN(H7:H14),H7:H14,0)),"")</f>
        <v/>
      </c>
    </row>
    <row r="14">
      <c r="A14" s="33" t="n"/>
      <c r="B14" s="33" t="n"/>
      <c r="C14" s="33" t="n"/>
      <c r="D14" s="33" t="n"/>
      <c r="E14" s="33" t="n"/>
      <c r="F14" s="35">
        <f>IF(B14="","",IF(E14&lt;&gt;"",E14,D14^2))</f>
        <v/>
      </c>
      <c r="G14" s="35">
        <f>IF(B14="","",(C14-$K$7)^2*B14)</f>
        <v/>
      </c>
      <c r="H14" s="35">
        <f>IF(B14="","",SQRT(F14)/C14)</f>
        <v/>
      </c>
    </row>
  </sheetData>
  <hyperlinks>
    <hyperlink ref="J1" location="'Inicio'!A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F5FD0"/>
    <outlinePr summaryBelow="1" summaryRight="1"/>
    <pageSetUpPr/>
  </sheetPr>
  <dimension ref="A1:J15"/>
  <sheetViews>
    <sheetView tabSelected="0" zoomScale="115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50" customWidth="1" min="3" max="3"/>
  </cols>
  <sheetData>
    <row r="1" ht="30" customHeight="1">
      <c r="A1" s="27" t="inlineStr">
        <is>
          <t>E · Cambios de origen y escala (Y = a·X + b)</t>
        </is>
      </c>
      <c r="B1" s="12" t="n"/>
      <c r="C1" s="12" t="n"/>
      <c r="D1" s="12" t="n"/>
      <c r="E1" s="12" t="n"/>
      <c r="F1" s="12" t="n"/>
      <c r="G1" s="12" t="n"/>
      <c r="H1" s="12" t="n"/>
      <c r="J1" s="20" t="inlineStr">
        <is>
          <t>← Volver al inicio</t>
        </is>
      </c>
    </row>
    <row r="2">
      <c r="A2" s="2" t="inlineStr">
        <is>
          <t>Qué pasa con la media y la varianza si todos los datos se multiplican por a y se les suma b.</t>
        </is>
      </c>
    </row>
    <row r="3">
      <c r="A3" s="28" t="inlineStr">
        <is>
          <t>Subir un 3 % → a = 1,03. Bajar un 2 % → a = 0,98. Sumar 50 € → b = 50. Si solo sumas, a = 1. Si solo multiplicas, b = 0.</t>
        </is>
      </c>
    </row>
    <row r="4">
      <c r="A4" s="29" t="inlineStr">
        <is>
          <t>Amarillo: escribe o pega aquí tus datos.  Verde: resultados (no los toques).</t>
        </is>
      </c>
    </row>
    <row r="5"/>
    <row r="6">
      <c r="A6" s="32" t="inlineStr">
        <is>
          <t>Media original</t>
        </is>
      </c>
      <c r="B6" s="33" t="n">
        <v>2550</v>
      </c>
    </row>
    <row r="7">
      <c r="A7" s="32" t="inlineStr">
        <is>
          <t>Varianza original</t>
        </is>
      </c>
      <c r="B7" s="33" t="n">
        <v>136500</v>
      </c>
    </row>
    <row r="8">
      <c r="A8" s="32" t="inlineStr">
        <is>
          <t>a (multiplica)</t>
        </is>
      </c>
      <c r="B8" s="33" t="n">
        <v>1.01</v>
      </c>
    </row>
    <row r="9">
      <c r="A9" s="32" t="inlineStr">
        <is>
          <t>b (suma)</t>
        </is>
      </c>
      <c r="B9" s="33" t="n">
        <v>25</v>
      </c>
    </row>
    <row r="10"/>
    <row r="11">
      <c r="A11" s="32" t="inlineStr">
        <is>
          <t>Nueva media = a·media + b</t>
        </is>
      </c>
      <c r="B11" s="38">
        <f>IFERROR(B8*B6+B9,"")</f>
        <v/>
      </c>
    </row>
    <row r="12">
      <c r="A12" s="32" t="inlineStr">
        <is>
          <t>Nueva varianza = a²·varianza</t>
        </is>
      </c>
      <c r="B12" s="38">
        <f>IFERROR(B8^2*B7,"")</f>
        <v/>
      </c>
      <c r="C12" s="39" t="inlineStr">
        <is>
          <t>Sumar (b) no cambia la varianza</t>
        </is>
      </c>
    </row>
    <row r="13">
      <c r="A13" s="32" t="inlineStr">
        <is>
          <t>Nueva desviación típica = |a|·S</t>
        </is>
      </c>
      <c r="B13" s="38">
        <f>IFERROR(ABS(B8)*SQRT(B7),"")</f>
        <v/>
      </c>
    </row>
    <row r="14">
      <c r="A14" s="32" t="inlineStr">
        <is>
          <t>CV antes</t>
        </is>
      </c>
      <c r="B14" s="38">
        <f>IFERROR(SQRT(B7)/B6,"")</f>
        <v/>
      </c>
    </row>
    <row r="15">
      <c r="A15" s="32" t="inlineStr">
        <is>
          <t>CV después</t>
        </is>
      </c>
      <c r="B15" s="38">
        <f>IFERROR(B13/B11,"")</f>
        <v/>
      </c>
      <c r="C15" s="39" t="inlineStr">
        <is>
          <t>Solo multiplicar no cambia el CV</t>
        </is>
      </c>
    </row>
  </sheetData>
  <hyperlinks>
    <hyperlink ref="J1" location="'Inicio'!A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F8A68"/>
    <outlinePr summaryBelow="1" summaryRight="1"/>
    <pageSetUpPr/>
  </sheetPr>
  <dimension ref="A1:J62"/>
  <sheetViews>
    <sheetView tabSelected="0" zoomScale="115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 ht="30" customHeight="1">
      <c r="A1" s="43" t="inlineStr">
        <is>
          <t>F · Tabla de doble entrada</t>
        </is>
      </c>
      <c r="B1" s="14" t="n"/>
      <c r="C1" s="14" t="n"/>
      <c r="D1" s="14" t="n"/>
      <c r="E1" s="14" t="n"/>
      <c r="F1" s="14" t="n"/>
      <c r="G1" s="14" t="n"/>
      <c r="H1" s="14" t="n"/>
      <c r="J1" s="20" t="inlineStr">
        <is>
          <t>← Volver al inicio</t>
        </is>
      </c>
    </row>
    <row r="2">
      <c r="A2" s="2" t="inlineStr">
        <is>
          <t>Escribe los nombres de filas (A8:A13) y columnas (B7:G7) y las frecuencias.</t>
        </is>
      </c>
    </row>
    <row r="3">
      <c r="A3" s="28" t="inlineStr">
        <is>
          <t>Calcula totales, frecuencias relativas, la tabla de independencia, las condicionadas y si son independientes.</t>
        </is>
      </c>
    </row>
    <row r="4">
      <c r="A4" s="29" t="inlineStr">
        <is>
          <t>Amarillo: escribe o pega aquí tus datos.  Verde: resultados (no los toques).</t>
        </is>
      </c>
    </row>
    <row r="5"/>
    <row r="6"/>
    <row r="7">
      <c r="A7" s="32" t="inlineStr">
        <is>
          <t>X \ Y</t>
        </is>
      </c>
      <c r="B7" s="33" t="n"/>
      <c r="C7" s="33" t="n"/>
      <c r="D7" s="33" t="n"/>
      <c r="E7" s="33" t="n"/>
      <c r="F7" s="33" t="n"/>
      <c r="G7" s="33" t="n"/>
      <c r="H7" s="32" t="inlineStr">
        <is>
          <t>Total</t>
        </is>
      </c>
    </row>
    <row r="8">
      <c r="A8" s="33" t="n"/>
      <c r="B8" s="33" t="n"/>
      <c r="C8" s="33" t="n"/>
      <c r="D8" s="33" t="n"/>
      <c r="E8" s="33" t="n"/>
      <c r="F8" s="33" t="n"/>
      <c r="G8" s="33" t="n"/>
      <c r="H8" s="40">
        <f>IF(COUNT(B8:G8)=0,"",SUM(B8:G8))</f>
        <v/>
      </c>
    </row>
    <row r="9">
      <c r="A9" s="33" t="n"/>
      <c r="B9" s="33" t="n"/>
      <c r="C9" s="33" t="n"/>
      <c r="D9" s="33" t="n"/>
      <c r="E9" s="33" t="n"/>
      <c r="F9" s="33" t="n"/>
      <c r="G9" s="33" t="n"/>
      <c r="H9" s="40">
        <f>IF(COUNT(B9:G9)=0,"",SUM(B9:G9))</f>
        <v/>
      </c>
    </row>
    <row r="10">
      <c r="A10" s="33" t="n"/>
      <c r="B10" s="33" t="n"/>
      <c r="C10" s="33" t="n"/>
      <c r="D10" s="33" t="n"/>
      <c r="E10" s="33" t="n"/>
      <c r="F10" s="33" t="n"/>
      <c r="G10" s="33" t="n"/>
      <c r="H10" s="40">
        <f>IF(COUNT(B10:G10)=0,"",SUM(B10:G10))</f>
        <v/>
      </c>
    </row>
    <row r="11">
      <c r="A11" s="33" t="n"/>
      <c r="B11" s="33" t="n"/>
      <c r="C11" s="33" t="n"/>
      <c r="D11" s="33" t="n"/>
      <c r="E11" s="33" t="n"/>
      <c r="F11" s="33" t="n"/>
      <c r="G11" s="33" t="n"/>
      <c r="H11" s="40">
        <f>IF(COUNT(B11:G11)=0,"",SUM(B11:G11))</f>
        <v/>
      </c>
    </row>
    <row r="12">
      <c r="A12" s="33" t="n"/>
      <c r="B12" s="33" t="n"/>
      <c r="C12" s="33" t="n"/>
      <c r="D12" s="33" t="n"/>
      <c r="E12" s="33" t="n"/>
      <c r="F12" s="33" t="n"/>
      <c r="G12" s="33" t="n"/>
      <c r="H12" s="40">
        <f>IF(COUNT(B12:G12)=0,"",SUM(B12:G12))</f>
        <v/>
      </c>
    </row>
    <row r="13">
      <c r="A13" s="33" t="n"/>
      <c r="B13" s="33" t="n"/>
      <c r="C13" s="33" t="n"/>
      <c r="D13" s="33" t="n"/>
      <c r="E13" s="33" t="n"/>
      <c r="F13" s="33" t="n"/>
      <c r="G13" s="33" t="n"/>
      <c r="H13" s="40">
        <f>IF(COUNT(B13:G13)=0,"",SUM(B13:G13))</f>
        <v/>
      </c>
    </row>
    <row r="14">
      <c r="A14" s="32" t="inlineStr">
        <is>
          <t>Total</t>
        </is>
      </c>
      <c r="B14" s="40">
        <f>IF(COUNT(B8:B13)=0,"",SUM(B8:B13))</f>
        <v/>
      </c>
      <c r="C14" s="40">
        <f>IF(COUNT(C8:C13)=0,"",SUM(C8:C13))</f>
        <v/>
      </c>
      <c r="D14" s="40">
        <f>IF(COUNT(D8:D13)=0,"",SUM(D8:D13))</f>
        <v/>
      </c>
      <c r="E14" s="40">
        <f>IF(COUNT(E8:E13)=0,"",SUM(E8:E13))</f>
        <v/>
      </c>
      <c r="F14" s="40">
        <f>IF(COUNT(F8:F13)=0,"",SUM(F8:F13))</f>
        <v/>
      </c>
      <c r="G14" s="40">
        <f>IF(COUNT(G8:G13)=0,"",SUM(G8:G13))</f>
        <v/>
      </c>
      <c r="H14" s="40">
        <f>IF(COUNT(H8:H13)=0,"",SUM(H8:H13))</f>
        <v/>
      </c>
    </row>
    <row r="15"/>
    <row r="16">
      <c r="A16" s="44" t="inlineStr">
        <is>
          <t>Frecuencias relativas fᵢⱼ = nᵢⱼ / n</t>
        </is>
      </c>
    </row>
    <row r="17">
      <c r="B17" s="32">
        <f>IF(B$7="","",B$7)</f>
        <v/>
      </c>
      <c r="C17" s="32">
        <f>IF(C$7="","",C$7)</f>
        <v/>
      </c>
      <c r="D17" s="32">
        <f>IF(D$7="","",D$7)</f>
        <v/>
      </c>
      <c r="E17" s="32">
        <f>IF(E$7="","",E$7)</f>
        <v/>
      </c>
      <c r="F17" s="32">
        <f>IF(F$7="","",F$7)</f>
        <v/>
      </c>
      <c r="G17" s="32">
        <f>IF(G$7="","",G$7)</f>
        <v/>
      </c>
    </row>
    <row r="18">
      <c r="A18" s="32">
        <f>IF($A8="","",$A8)</f>
        <v/>
      </c>
      <c r="B18" s="35">
        <f>IF(B8="","",B8/$H$14)</f>
        <v/>
      </c>
      <c r="C18" s="35">
        <f>IF(C8="","",C8/$H$14)</f>
        <v/>
      </c>
      <c r="D18" s="35">
        <f>IF(D8="","",D8/$H$14)</f>
        <v/>
      </c>
      <c r="E18" s="35">
        <f>IF(E8="","",E8/$H$14)</f>
        <v/>
      </c>
      <c r="F18" s="35">
        <f>IF(F8="","",F8/$H$14)</f>
        <v/>
      </c>
      <c r="G18" s="35">
        <f>IF(G8="","",G8/$H$14)</f>
        <v/>
      </c>
    </row>
    <row r="19">
      <c r="A19" s="32">
        <f>IF($A9="","",$A9)</f>
        <v/>
      </c>
      <c r="B19" s="35">
        <f>IF(B9="","",B9/$H$14)</f>
        <v/>
      </c>
      <c r="C19" s="35">
        <f>IF(C9="","",C9/$H$14)</f>
        <v/>
      </c>
      <c r="D19" s="35">
        <f>IF(D9="","",D9/$H$14)</f>
        <v/>
      </c>
      <c r="E19" s="35">
        <f>IF(E9="","",E9/$H$14)</f>
        <v/>
      </c>
      <c r="F19" s="35">
        <f>IF(F9="","",F9/$H$14)</f>
        <v/>
      </c>
      <c r="G19" s="35">
        <f>IF(G9="","",G9/$H$14)</f>
        <v/>
      </c>
    </row>
    <row r="20">
      <c r="A20" s="32">
        <f>IF($A10="","",$A10)</f>
        <v/>
      </c>
      <c r="B20" s="35">
        <f>IF(B10="","",B10/$H$14)</f>
        <v/>
      </c>
      <c r="C20" s="35">
        <f>IF(C10="","",C10/$H$14)</f>
        <v/>
      </c>
      <c r="D20" s="35">
        <f>IF(D10="","",D10/$H$14)</f>
        <v/>
      </c>
      <c r="E20" s="35">
        <f>IF(E10="","",E10/$H$14)</f>
        <v/>
      </c>
      <c r="F20" s="35">
        <f>IF(F10="","",F10/$H$14)</f>
        <v/>
      </c>
      <c r="G20" s="35">
        <f>IF(G10="","",G10/$H$14)</f>
        <v/>
      </c>
    </row>
    <row r="21">
      <c r="A21" s="32">
        <f>IF($A11="","",$A11)</f>
        <v/>
      </c>
      <c r="B21" s="35">
        <f>IF(B11="","",B11/$H$14)</f>
        <v/>
      </c>
      <c r="C21" s="35">
        <f>IF(C11="","",C11/$H$14)</f>
        <v/>
      </c>
      <c r="D21" s="35">
        <f>IF(D11="","",D11/$H$14)</f>
        <v/>
      </c>
      <c r="E21" s="35">
        <f>IF(E11="","",E11/$H$14)</f>
        <v/>
      </c>
      <c r="F21" s="35">
        <f>IF(F11="","",F11/$H$14)</f>
        <v/>
      </c>
      <c r="G21" s="35">
        <f>IF(G11="","",G11/$H$14)</f>
        <v/>
      </c>
    </row>
    <row r="22">
      <c r="A22" s="32">
        <f>IF($A12="","",$A12)</f>
        <v/>
      </c>
      <c r="B22" s="35">
        <f>IF(B12="","",B12/$H$14)</f>
        <v/>
      </c>
      <c r="C22" s="35">
        <f>IF(C12="","",C12/$H$14)</f>
        <v/>
      </c>
      <c r="D22" s="35">
        <f>IF(D12="","",D12/$H$14)</f>
        <v/>
      </c>
      <c r="E22" s="35">
        <f>IF(E12="","",E12/$H$14)</f>
        <v/>
      </c>
      <c r="F22" s="35">
        <f>IF(F12="","",F12/$H$14)</f>
        <v/>
      </c>
      <c r="G22" s="35">
        <f>IF(G12="","",G12/$H$14)</f>
        <v/>
      </c>
    </row>
    <row r="23">
      <c r="A23" s="32">
        <f>IF($A13="","",$A13)</f>
        <v/>
      </c>
      <c r="B23" s="35">
        <f>IF(B13="","",B13/$H$14)</f>
        <v/>
      </c>
      <c r="C23" s="35">
        <f>IF(C13="","",C13/$H$14)</f>
        <v/>
      </c>
      <c r="D23" s="35">
        <f>IF(D13="","",D13/$H$14)</f>
        <v/>
      </c>
      <c r="E23" s="35">
        <f>IF(E13="","",E13/$H$14)</f>
        <v/>
      </c>
      <c r="F23" s="35">
        <f>IF(F13="","",F13/$H$14)</f>
        <v/>
      </c>
      <c r="G23" s="35">
        <f>IF(G13="","",G13/$H$14)</f>
        <v/>
      </c>
    </row>
    <row r="24"/>
    <row r="25">
      <c r="A25" s="44" t="inlineStr">
        <is>
          <t>Si fueran independientes: fᵢ. × f.ⱼ</t>
        </is>
      </c>
    </row>
    <row r="26">
      <c r="B26" s="32">
        <f>IF(B$7="","",B$7)</f>
        <v/>
      </c>
      <c r="C26" s="32">
        <f>IF(C$7="","",C$7)</f>
        <v/>
      </c>
      <c r="D26" s="32">
        <f>IF(D$7="","",D$7)</f>
        <v/>
      </c>
      <c r="E26" s="32">
        <f>IF(E$7="","",E$7)</f>
        <v/>
      </c>
      <c r="F26" s="32">
        <f>IF(F$7="","",F$7)</f>
        <v/>
      </c>
      <c r="G26" s="32">
        <f>IF(G$7="","",G$7)</f>
        <v/>
      </c>
    </row>
    <row r="27">
      <c r="A27" s="32">
        <f>IF($A8="","",$A8)</f>
        <v/>
      </c>
      <c r="B27" s="35">
        <f>IF(B8="","",($H8/$H$14)*(B$14/$H$14))</f>
        <v/>
      </c>
      <c r="C27" s="35">
        <f>IF(C8="","",($H8/$H$14)*(C$14/$H$14))</f>
        <v/>
      </c>
      <c r="D27" s="35">
        <f>IF(D8="","",($H8/$H$14)*(D$14/$H$14))</f>
        <v/>
      </c>
      <c r="E27" s="35">
        <f>IF(E8="","",($H8/$H$14)*(E$14/$H$14))</f>
        <v/>
      </c>
      <c r="F27" s="35">
        <f>IF(F8="","",($H8/$H$14)*(F$14/$H$14))</f>
        <v/>
      </c>
      <c r="G27" s="35">
        <f>IF(G8="","",($H8/$H$14)*(G$14/$H$14))</f>
        <v/>
      </c>
    </row>
    <row r="28">
      <c r="A28" s="32">
        <f>IF($A9="","",$A9)</f>
        <v/>
      </c>
      <c r="B28" s="35">
        <f>IF(B9="","",($H9/$H$14)*(B$14/$H$14))</f>
        <v/>
      </c>
      <c r="C28" s="35">
        <f>IF(C9="","",($H9/$H$14)*(C$14/$H$14))</f>
        <v/>
      </c>
      <c r="D28" s="35">
        <f>IF(D9="","",($H9/$H$14)*(D$14/$H$14))</f>
        <v/>
      </c>
      <c r="E28" s="35">
        <f>IF(E9="","",($H9/$H$14)*(E$14/$H$14))</f>
        <v/>
      </c>
      <c r="F28" s="35">
        <f>IF(F9="","",($H9/$H$14)*(F$14/$H$14))</f>
        <v/>
      </c>
      <c r="G28" s="35">
        <f>IF(G9="","",($H9/$H$14)*(G$14/$H$14))</f>
        <v/>
      </c>
    </row>
    <row r="29">
      <c r="A29" s="32">
        <f>IF($A10="","",$A10)</f>
        <v/>
      </c>
      <c r="B29" s="35">
        <f>IF(B10="","",($H10/$H$14)*(B$14/$H$14))</f>
        <v/>
      </c>
      <c r="C29" s="35">
        <f>IF(C10="","",($H10/$H$14)*(C$14/$H$14))</f>
        <v/>
      </c>
      <c r="D29" s="35">
        <f>IF(D10="","",($H10/$H$14)*(D$14/$H$14))</f>
        <v/>
      </c>
      <c r="E29" s="35">
        <f>IF(E10="","",($H10/$H$14)*(E$14/$H$14))</f>
        <v/>
      </c>
      <c r="F29" s="35">
        <f>IF(F10="","",($H10/$H$14)*(F$14/$H$14))</f>
        <v/>
      </c>
      <c r="G29" s="35">
        <f>IF(G10="","",($H10/$H$14)*(G$14/$H$14))</f>
        <v/>
      </c>
    </row>
    <row r="30">
      <c r="A30" s="32">
        <f>IF($A11="","",$A11)</f>
        <v/>
      </c>
      <c r="B30" s="35">
        <f>IF(B11="","",($H11/$H$14)*(B$14/$H$14))</f>
        <v/>
      </c>
      <c r="C30" s="35">
        <f>IF(C11="","",($H11/$H$14)*(C$14/$H$14))</f>
        <v/>
      </c>
      <c r="D30" s="35">
        <f>IF(D11="","",($H11/$H$14)*(D$14/$H$14))</f>
        <v/>
      </c>
      <c r="E30" s="35">
        <f>IF(E11="","",($H11/$H$14)*(E$14/$H$14))</f>
        <v/>
      </c>
      <c r="F30" s="35">
        <f>IF(F11="","",($H11/$H$14)*(F$14/$H$14))</f>
        <v/>
      </c>
      <c r="G30" s="35">
        <f>IF(G11="","",($H11/$H$14)*(G$14/$H$14))</f>
        <v/>
      </c>
    </row>
    <row r="31">
      <c r="A31" s="32">
        <f>IF($A12="","",$A12)</f>
        <v/>
      </c>
      <c r="B31" s="35">
        <f>IF(B12="","",($H12/$H$14)*(B$14/$H$14))</f>
        <v/>
      </c>
      <c r="C31" s="35">
        <f>IF(C12="","",($H12/$H$14)*(C$14/$H$14))</f>
        <v/>
      </c>
      <c r="D31" s="35">
        <f>IF(D12="","",($H12/$H$14)*(D$14/$H$14))</f>
        <v/>
      </c>
      <c r="E31" s="35">
        <f>IF(E12="","",($H12/$H$14)*(E$14/$H$14))</f>
        <v/>
      </c>
      <c r="F31" s="35">
        <f>IF(F12="","",($H12/$H$14)*(F$14/$H$14))</f>
        <v/>
      </c>
      <c r="G31" s="35">
        <f>IF(G12="","",($H12/$H$14)*(G$14/$H$14))</f>
        <v/>
      </c>
    </row>
    <row r="32">
      <c r="A32" s="32">
        <f>IF($A13="","",$A13)</f>
        <v/>
      </c>
      <c r="B32" s="35">
        <f>IF(B13="","",($H13/$H$14)*(B$14/$H$14))</f>
        <v/>
      </c>
      <c r="C32" s="35">
        <f>IF(C13="","",($H13/$H$14)*(C$14/$H$14))</f>
        <v/>
      </c>
      <c r="D32" s="35">
        <f>IF(D13="","",($H13/$H$14)*(D$14/$H$14))</f>
        <v/>
      </c>
      <c r="E32" s="35">
        <f>IF(E13="","",($H13/$H$14)*(E$14/$H$14))</f>
        <v/>
      </c>
      <c r="F32" s="35">
        <f>IF(F13="","",($H13/$H$14)*(F$14/$H$14))</f>
        <v/>
      </c>
      <c r="G32" s="35">
        <f>IF(G13="","",($H13/$H$14)*(G$14/$H$14))</f>
        <v/>
      </c>
    </row>
    <row r="33"/>
    <row r="34">
      <c r="A34" s="44" t="inlineStr">
        <is>
          <t>Condicionadas por filas (Y | X): % de cada fila</t>
        </is>
      </c>
    </row>
    <row r="35">
      <c r="B35" s="32">
        <f>IF(B$7="","",B$7)</f>
        <v/>
      </c>
      <c r="C35" s="32">
        <f>IF(C$7="","",C$7)</f>
        <v/>
      </c>
      <c r="D35" s="32">
        <f>IF(D$7="","",D$7)</f>
        <v/>
      </c>
      <c r="E35" s="32">
        <f>IF(E$7="","",E$7)</f>
        <v/>
      </c>
      <c r="F35" s="32">
        <f>IF(F$7="","",F$7)</f>
        <v/>
      </c>
      <c r="G35" s="32">
        <f>IF(G$7="","",G$7)</f>
        <v/>
      </c>
    </row>
    <row r="36">
      <c r="A36" s="32">
        <f>IF($A8="","",$A8)</f>
        <v/>
      </c>
      <c r="B36" s="45">
        <f>IF(B8="","",B8/$H8)</f>
        <v/>
      </c>
      <c r="C36" s="45">
        <f>IF(C8="","",C8/$H8)</f>
        <v/>
      </c>
      <c r="D36" s="45">
        <f>IF(D8="","",D8/$H8)</f>
        <v/>
      </c>
      <c r="E36" s="45">
        <f>IF(E8="","",E8/$H8)</f>
        <v/>
      </c>
      <c r="F36" s="45">
        <f>IF(F8="","",F8/$H8)</f>
        <v/>
      </c>
      <c r="G36" s="45">
        <f>IF(G8="","",G8/$H8)</f>
        <v/>
      </c>
    </row>
    <row r="37">
      <c r="A37" s="32">
        <f>IF($A9="","",$A9)</f>
        <v/>
      </c>
      <c r="B37" s="45">
        <f>IF(B9="","",B9/$H9)</f>
        <v/>
      </c>
      <c r="C37" s="45">
        <f>IF(C9="","",C9/$H9)</f>
        <v/>
      </c>
      <c r="D37" s="45">
        <f>IF(D9="","",D9/$H9)</f>
        <v/>
      </c>
      <c r="E37" s="45">
        <f>IF(E9="","",E9/$H9)</f>
        <v/>
      </c>
      <c r="F37" s="45">
        <f>IF(F9="","",F9/$H9)</f>
        <v/>
      </c>
      <c r="G37" s="45">
        <f>IF(G9="","",G9/$H9)</f>
        <v/>
      </c>
    </row>
    <row r="38">
      <c r="A38" s="32">
        <f>IF($A10="","",$A10)</f>
        <v/>
      </c>
      <c r="B38" s="45">
        <f>IF(B10="","",B10/$H10)</f>
        <v/>
      </c>
      <c r="C38" s="45">
        <f>IF(C10="","",C10/$H10)</f>
        <v/>
      </c>
      <c r="D38" s="45">
        <f>IF(D10="","",D10/$H10)</f>
        <v/>
      </c>
      <c r="E38" s="45">
        <f>IF(E10="","",E10/$H10)</f>
        <v/>
      </c>
      <c r="F38" s="45">
        <f>IF(F10="","",F10/$H10)</f>
        <v/>
      </c>
      <c r="G38" s="45">
        <f>IF(G10="","",G10/$H10)</f>
        <v/>
      </c>
    </row>
    <row r="39">
      <c r="A39" s="32">
        <f>IF($A11="","",$A11)</f>
        <v/>
      </c>
      <c r="B39" s="45">
        <f>IF(B11="","",B11/$H11)</f>
        <v/>
      </c>
      <c r="C39" s="45">
        <f>IF(C11="","",C11/$H11)</f>
        <v/>
      </c>
      <c r="D39" s="45">
        <f>IF(D11="","",D11/$H11)</f>
        <v/>
      </c>
      <c r="E39" s="45">
        <f>IF(E11="","",E11/$H11)</f>
        <v/>
      </c>
      <c r="F39" s="45">
        <f>IF(F11="","",F11/$H11)</f>
        <v/>
      </c>
      <c r="G39" s="45">
        <f>IF(G11="","",G11/$H11)</f>
        <v/>
      </c>
    </row>
    <row r="40">
      <c r="A40" s="32">
        <f>IF($A12="","",$A12)</f>
        <v/>
      </c>
      <c r="B40" s="45">
        <f>IF(B12="","",B12/$H12)</f>
        <v/>
      </c>
      <c r="C40" s="45">
        <f>IF(C12="","",C12/$H12)</f>
        <v/>
      </c>
      <c r="D40" s="45">
        <f>IF(D12="","",D12/$H12)</f>
        <v/>
      </c>
      <c r="E40" s="45">
        <f>IF(E12="","",E12/$H12)</f>
        <v/>
      </c>
      <c r="F40" s="45">
        <f>IF(F12="","",F12/$H12)</f>
        <v/>
      </c>
      <c r="G40" s="45">
        <f>IF(G12="","",G12/$H12)</f>
        <v/>
      </c>
    </row>
    <row r="41">
      <c r="A41" s="32">
        <f>IF($A13="","",$A13)</f>
        <v/>
      </c>
      <c r="B41" s="45">
        <f>IF(B13="","",B13/$H13)</f>
        <v/>
      </c>
      <c r="C41" s="45">
        <f>IF(C13="","",C13/$H13)</f>
        <v/>
      </c>
      <c r="D41" s="45">
        <f>IF(D13="","",D13/$H13)</f>
        <v/>
      </c>
      <c r="E41" s="45">
        <f>IF(E13="","",E13/$H13)</f>
        <v/>
      </c>
      <c r="F41" s="45">
        <f>IF(F13="","",F13/$H13)</f>
        <v/>
      </c>
      <c r="G41" s="45">
        <f>IF(G13="","",G13/$H13)</f>
        <v/>
      </c>
    </row>
    <row r="42"/>
    <row r="43">
      <c r="A43" s="44" t="inlineStr">
        <is>
          <t>Condicionadas por columnas (X | Y): % de cada columna</t>
        </is>
      </c>
    </row>
    <row r="44">
      <c r="B44" s="32">
        <f>IF(B$7="","",B$7)</f>
        <v/>
      </c>
      <c r="C44" s="32">
        <f>IF(C$7="","",C$7)</f>
        <v/>
      </c>
      <c r="D44" s="32">
        <f>IF(D$7="","",D$7)</f>
        <v/>
      </c>
      <c r="E44" s="32">
        <f>IF(E$7="","",E$7)</f>
        <v/>
      </c>
      <c r="F44" s="32">
        <f>IF(F$7="","",F$7)</f>
        <v/>
      </c>
      <c r="G44" s="32">
        <f>IF(G$7="","",G$7)</f>
        <v/>
      </c>
    </row>
    <row r="45">
      <c r="A45" s="32">
        <f>IF($A8="","",$A8)</f>
        <v/>
      </c>
      <c r="B45" s="45">
        <f>IF(B8="","",B8/B$14)</f>
        <v/>
      </c>
      <c r="C45" s="45">
        <f>IF(C8="","",C8/C$14)</f>
        <v/>
      </c>
      <c r="D45" s="45">
        <f>IF(D8="","",D8/D$14)</f>
        <v/>
      </c>
      <c r="E45" s="45">
        <f>IF(E8="","",E8/E$14)</f>
        <v/>
      </c>
      <c r="F45" s="45">
        <f>IF(F8="","",F8/F$14)</f>
        <v/>
      </c>
      <c r="G45" s="45">
        <f>IF(G8="","",G8/G$14)</f>
        <v/>
      </c>
    </row>
    <row r="46">
      <c r="A46" s="32">
        <f>IF($A9="","",$A9)</f>
        <v/>
      </c>
      <c r="B46" s="45">
        <f>IF(B9="","",B9/B$14)</f>
        <v/>
      </c>
      <c r="C46" s="45">
        <f>IF(C9="","",C9/C$14)</f>
        <v/>
      </c>
      <c r="D46" s="45">
        <f>IF(D9="","",D9/D$14)</f>
        <v/>
      </c>
      <c r="E46" s="45">
        <f>IF(E9="","",E9/E$14)</f>
        <v/>
      </c>
      <c r="F46" s="45">
        <f>IF(F9="","",F9/F$14)</f>
        <v/>
      </c>
      <c r="G46" s="45">
        <f>IF(G9="","",G9/G$14)</f>
        <v/>
      </c>
    </row>
    <row r="47">
      <c r="A47" s="32">
        <f>IF($A10="","",$A10)</f>
        <v/>
      </c>
      <c r="B47" s="45">
        <f>IF(B10="","",B10/B$14)</f>
        <v/>
      </c>
      <c r="C47" s="45">
        <f>IF(C10="","",C10/C$14)</f>
        <v/>
      </c>
      <c r="D47" s="45">
        <f>IF(D10="","",D10/D$14)</f>
        <v/>
      </c>
      <c r="E47" s="45">
        <f>IF(E10="","",E10/E$14)</f>
        <v/>
      </c>
      <c r="F47" s="45">
        <f>IF(F10="","",F10/F$14)</f>
        <v/>
      </c>
      <c r="G47" s="45">
        <f>IF(G10="","",G10/G$14)</f>
        <v/>
      </c>
    </row>
    <row r="48">
      <c r="A48" s="32">
        <f>IF($A11="","",$A11)</f>
        <v/>
      </c>
      <c r="B48" s="45">
        <f>IF(B11="","",B11/B$14)</f>
        <v/>
      </c>
      <c r="C48" s="45">
        <f>IF(C11="","",C11/C$14)</f>
        <v/>
      </c>
      <c r="D48" s="45">
        <f>IF(D11="","",D11/D$14)</f>
        <v/>
      </c>
      <c r="E48" s="45">
        <f>IF(E11="","",E11/E$14)</f>
        <v/>
      </c>
      <c r="F48" s="45">
        <f>IF(F11="","",F11/F$14)</f>
        <v/>
      </c>
      <c r="G48" s="45">
        <f>IF(G11="","",G11/G$14)</f>
        <v/>
      </c>
    </row>
    <row r="49">
      <c r="A49" s="32">
        <f>IF($A12="","",$A12)</f>
        <v/>
      </c>
      <c r="B49" s="45">
        <f>IF(B12="","",B12/B$14)</f>
        <v/>
      </c>
      <c r="C49" s="45">
        <f>IF(C12="","",C12/C$14)</f>
        <v/>
      </c>
      <c r="D49" s="45">
        <f>IF(D12="","",D12/D$14)</f>
        <v/>
      </c>
      <c r="E49" s="45">
        <f>IF(E12="","",E12/E$14)</f>
        <v/>
      </c>
      <c r="F49" s="45">
        <f>IF(F12="","",F12/F$14)</f>
        <v/>
      </c>
      <c r="G49" s="45">
        <f>IF(G12="","",G12/G$14)</f>
        <v/>
      </c>
    </row>
    <row r="50">
      <c r="A50" s="32">
        <f>IF($A13="","",$A13)</f>
        <v/>
      </c>
      <c r="B50" s="45">
        <f>IF(B13="","",B13/B$14)</f>
        <v/>
      </c>
      <c r="C50" s="45">
        <f>IF(C13="","",C13/C$14)</f>
        <v/>
      </c>
      <c r="D50" s="45">
        <f>IF(D13="","",D13/D$14)</f>
        <v/>
      </c>
      <c r="E50" s="45">
        <f>IF(E13="","",E13/E$14)</f>
        <v/>
      </c>
      <c r="F50" s="45">
        <f>IF(F13="","",F13/F$14)</f>
        <v/>
      </c>
      <c r="G50" s="45">
        <f>IF(G13="","",G13/G$14)</f>
        <v/>
      </c>
    </row>
    <row r="51"/>
    <row r="52">
      <c r="A52" s="44" t="inlineStr">
        <is>
          <t>Diferencias |fᵢⱼ − fᵢ.·f.ⱼ|</t>
        </is>
      </c>
    </row>
    <row r="53">
      <c r="B53" s="32">
        <f>IF(B$7="","",B$7)</f>
        <v/>
      </c>
      <c r="C53" s="32">
        <f>IF(C$7="","",C$7)</f>
        <v/>
      </c>
      <c r="D53" s="32">
        <f>IF(D$7="","",D$7)</f>
        <v/>
      </c>
      <c r="E53" s="32">
        <f>IF(E$7="","",E$7)</f>
        <v/>
      </c>
      <c r="F53" s="32">
        <f>IF(F$7="","",F$7)</f>
        <v/>
      </c>
      <c r="G53" s="32">
        <f>IF(G$7="","",G$7)</f>
        <v/>
      </c>
    </row>
    <row r="54">
      <c r="A54" s="32">
        <f>IF($A8="","",$A8)</f>
        <v/>
      </c>
      <c r="B54" s="35">
        <f>IF(B18="","",ABS(B18-B27))</f>
        <v/>
      </c>
      <c r="C54" s="35">
        <f>IF(C18="","",ABS(C18-C27))</f>
        <v/>
      </c>
      <c r="D54" s="35">
        <f>IF(D18="","",ABS(D18-D27))</f>
        <v/>
      </c>
      <c r="E54" s="35">
        <f>IF(E18="","",ABS(E18-E27))</f>
        <v/>
      </c>
      <c r="F54" s="35">
        <f>IF(F18="","",ABS(F18-F27))</f>
        <v/>
      </c>
      <c r="G54" s="35">
        <f>IF(G18="","",ABS(G18-G27))</f>
        <v/>
      </c>
    </row>
    <row r="55">
      <c r="A55" s="32">
        <f>IF($A9="","",$A9)</f>
        <v/>
      </c>
      <c r="B55" s="35">
        <f>IF(B19="","",ABS(B19-B28))</f>
        <v/>
      </c>
      <c r="C55" s="35">
        <f>IF(C19="","",ABS(C19-C28))</f>
        <v/>
      </c>
      <c r="D55" s="35">
        <f>IF(D19="","",ABS(D19-D28))</f>
        <v/>
      </c>
      <c r="E55" s="35">
        <f>IF(E19="","",ABS(E19-E28))</f>
        <v/>
      </c>
      <c r="F55" s="35">
        <f>IF(F19="","",ABS(F19-F28))</f>
        <v/>
      </c>
      <c r="G55" s="35">
        <f>IF(G19="","",ABS(G19-G28))</f>
        <v/>
      </c>
    </row>
    <row r="56">
      <c r="A56" s="32">
        <f>IF($A10="","",$A10)</f>
        <v/>
      </c>
      <c r="B56" s="35">
        <f>IF(B20="","",ABS(B20-B29))</f>
        <v/>
      </c>
      <c r="C56" s="35">
        <f>IF(C20="","",ABS(C20-C29))</f>
        <v/>
      </c>
      <c r="D56" s="35">
        <f>IF(D20="","",ABS(D20-D29))</f>
        <v/>
      </c>
      <c r="E56" s="35">
        <f>IF(E20="","",ABS(E20-E29))</f>
        <v/>
      </c>
      <c r="F56" s="35">
        <f>IF(F20="","",ABS(F20-F29))</f>
        <v/>
      </c>
      <c r="G56" s="35">
        <f>IF(G20="","",ABS(G20-G29))</f>
        <v/>
      </c>
    </row>
    <row r="57">
      <c r="A57" s="32">
        <f>IF($A11="","",$A11)</f>
        <v/>
      </c>
      <c r="B57" s="35">
        <f>IF(B21="","",ABS(B21-B30))</f>
        <v/>
      </c>
      <c r="C57" s="35">
        <f>IF(C21="","",ABS(C21-C30))</f>
        <v/>
      </c>
      <c r="D57" s="35">
        <f>IF(D21="","",ABS(D21-D30))</f>
        <v/>
      </c>
      <c r="E57" s="35">
        <f>IF(E21="","",ABS(E21-E30))</f>
        <v/>
      </c>
      <c r="F57" s="35">
        <f>IF(F21="","",ABS(F21-F30))</f>
        <v/>
      </c>
      <c r="G57" s="35">
        <f>IF(G21="","",ABS(G21-G30))</f>
        <v/>
      </c>
    </row>
    <row r="58">
      <c r="A58" s="32">
        <f>IF($A12="","",$A12)</f>
        <v/>
      </c>
      <c r="B58" s="35">
        <f>IF(B22="","",ABS(B22-B31))</f>
        <v/>
      </c>
      <c r="C58" s="35">
        <f>IF(C22="","",ABS(C22-C31))</f>
        <v/>
      </c>
      <c r="D58" s="35">
        <f>IF(D22="","",ABS(D22-D31))</f>
        <v/>
      </c>
      <c r="E58" s="35">
        <f>IF(E22="","",ABS(E22-E31))</f>
        <v/>
      </c>
      <c r="F58" s="35">
        <f>IF(F22="","",ABS(F22-F31))</f>
        <v/>
      </c>
      <c r="G58" s="35">
        <f>IF(G22="","",ABS(G22-G31))</f>
        <v/>
      </c>
    </row>
    <row r="59">
      <c r="A59" s="32">
        <f>IF($A13="","",$A13)</f>
        <v/>
      </c>
      <c r="B59" s="35">
        <f>IF(B23="","",ABS(B23-B32))</f>
        <v/>
      </c>
      <c r="C59" s="35">
        <f>IF(C23="","",ABS(C23-C32))</f>
        <v/>
      </c>
      <c r="D59" s="35">
        <f>IF(D23="","",ABS(D23-D32))</f>
        <v/>
      </c>
      <c r="E59" s="35">
        <f>IF(E23="","",ABS(E23-E32))</f>
        <v/>
      </c>
      <c r="F59" s="35">
        <f>IF(F23="","",ABS(F23-F32))</f>
        <v/>
      </c>
      <c r="G59" s="35">
        <f>IF(G23="","",ABS(G23-G32))</f>
        <v/>
      </c>
    </row>
    <row r="60"/>
    <row r="61">
      <c r="A61" s="32" t="inlineStr">
        <is>
          <t>Mayor diferencia</t>
        </is>
      </c>
      <c r="B61" s="38">
        <f>IFERROR(MAX(B54:G59),"")</f>
        <v/>
      </c>
    </row>
    <row r="62">
      <c r="A62" s="32" t="inlineStr">
        <is>
          <t>¿Independientes?</t>
        </is>
      </c>
      <c r="B62" s="41">
        <f>IFERROR(IF(B61&lt;0.0005,"Sí: coinciden en todas las casillas","No: hay casillas donde fᵢⱼ ≠ fᵢ.·f.ⱼ"),"")</f>
        <v/>
      </c>
    </row>
  </sheetData>
  <hyperlinks>
    <hyperlink ref="J1" location="'Inicio'!A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C2185B"/>
    <outlinePr summaryBelow="1" summaryRight="1"/>
    <pageSetUpPr/>
  </sheetPr>
  <dimension ref="A1:J506"/>
  <sheetViews>
    <sheetView tabSelected="0" zoomScale="115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" customWidth="1" min="3" max="3"/>
    <col width="40" customWidth="1" min="4" max="4"/>
    <col width="16" customWidth="1" min="5" max="5"/>
    <col width="36" customWidth="1" min="6" max="6"/>
  </cols>
  <sheetData>
    <row r="1" ht="30" customHeight="1">
      <c r="A1" s="46" t="inlineStr">
        <is>
          <t>G · Regresión y correlación con datos</t>
        </is>
      </c>
      <c r="B1" s="16" t="n"/>
      <c r="C1" s="16" t="n"/>
      <c r="D1" s="16" t="n"/>
      <c r="E1" s="16" t="n"/>
      <c r="F1" s="16" t="n"/>
      <c r="G1" s="16" t="n"/>
      <c r="H1" s="16" t="n"/>
      <c r="J1" s="20" t="inlineStr">
        <is>
          <t>← Volver al inicio</t>
        </is>
      </c>
    </row>
    <row r="2">
      <c r="A2" s="2" t="inlineStr">
        <is>
          <t>Pega X en la columna A y Y en la B (desde la fila 7). Hasta 500 pares.</t>
        </is>
      </c>
    </row>
    <row r="3">
      <c r="A3" s="28" t="inlineStr">
        <is>
          <t>La recta de Y sobre X es la que se usa para predecir Y. Para la nube de puntos: selecciona A y B → Insertar → Dispersión → línea de tendencia.</t>
        </is>
      </c>
    </row>
    <row r="4">
      <c r="A4" s="29" t="inlineStr">
        <is>
          <t>Amarillo: escribe o pega aquí tus datos.  Verde: resultados (no los toques).</t>
        </is>
      </c>
    </row>
    <row r="5">
      <c r="D5" s="30" t="inlineStr">
        <is>
          <t>Valor de X para la predicción →</t>
        </is>
      </c>
      <c r="E5" s="31" t="n">
        <v>11</v>
      </c>
    </row>
    <row r="6">
      <c r="A6" s="21" t="inlineStr">
        <is>
          <t>X</t>
        </is>
      </c>
      <c r="B6" s="21" t="inlineStr">
        <is>
          <t>Y</t>
        </is>
      </c>
    </row>
    <row r="7">
      <c r="A7" s="33" t="n"/>
      <c r="B7" s="33" t="n"/>
      <c r="D7" s="32" t="inlineStr">
        <is>
          <t>n</t>
        </is>
      </c>
      <c r="E7" s="41">
        <f>IFERROR(COUNT($A$7:$A$506),"")</f>
        <v/>
      </c>
    </row>
    <row r="8">
      <c r="A8" s="33" t="n"/>
      <c r="B8" s="33" t="n"/>
      <c r="D8" s="32" t="inlineStr">
        <is>
          <t>Media de X</t>
        </is>
      </c>
      <c r="E8" s="38">
        <f>IFERROR(AVERAGE($A$7:$A$506),"")</f>
        <v/>
      </c>
    </row>
    <row r="9">
      <c r="A9" s="33" t="n"/>
      <c r="B9" s="33" t="n"/>
      <c r="D9" s="32" t="inlineStr">
        <is>
          <t>Media de Y</t>
        </is>
      </c>
      <c r="E9" s="38">
        <f>IFERROR(AVERAGE($B$7:$B$506),"")</f>
        <v/>
      </c>
    </row>
    <row r="10">
      <c r="A10" s="33" t="n"/>
      <c r="B10" s="33" t="n"/>
      <c r="D10" s="32" t="inlineStr">
        <is>
          <t>Varianza de X</t>
        </is>
      </c>
      <c r="E10" s="38">
        <f>IFERROR(_xlfn.VAR.P($A$7:$A$506),"")</f>
        <v/>
      </c>
    </row>
    <row r="11">
      <c r="A11" s="33" t="n"/>
      <c r="B11" s="33" t="n"/>
      <c r="D11" s="32" t="inlineStr">
        <is>
          <t>Varianza de Y</t>
        </is>
      </c>
      <c r="E11" s="38">
        <f>IFERROR(_xlfn.VAR.P($B$7:$B$506),"")</f>
        <v/>
      </c>
    </row>
    <row r="12">
      <c r="A12" s="33" t="n"/>
      <c r="B12" s="33" t="n"/>
      <c r="D12" s="32" t="inlineStr">
        <is>
          <t>Covarianza</t>
        </is>
      </c>
      <c r="E12" s="38">
        <f>IFERROR(_xlfn.COVARIANCE.P($A$7:$A$506,$B$7:$B$506),"")</f>
        <v/>
      </c>
    </row>
    <row r="13">
      <c r="A13" s="33" t="n"/>
      <c r="B13" s="33" t="n"/>
      <c r="D13" s="32" t="inlineStr">
        <is>
          <t>Pendiente b (Y sobre X)</t>
        </is>
      </c>
      <c r="E13" s="38">
        <f>IFERROR(SLOPE($B$7:$B$506,$A$7:$A$506),"")</f>
        <v/>
      </c>
      <c r="F13" s="39" t="inlineStr">
        <is>
          <t>Por cada unidad más de X, Y cambia b unidades de media</t>
        </is>
      </c>
    </row>
    <row r="14">
      <c r="A14" s="33" t="n"/>
      <c r="B14" s="33" t="n"/>
      <c r="D14" s="32" t="inlineStr">
        <is>
          <t>Término independiente a</t>
        </is>
      </c>
      <c r="E14" s="38">
        <f>IFERROR(INTERCEPT($B$7:$B$506,$A$7:$A$506),"")</f>
        <v/>
      </c>
    </row>
    <row r="15">
      <c r="A15" s="33" t="n"/>
      <c r="B15" s="33" t="n"/>
      <c r="D15" s="32" t="inlineStr">
        <is>
          <t>Correlación r</t>
        </is>
      </c>
      <c r="E15" s="38">
        <f>IFERROR(CORREL($A$7:$A$506,$B$7:$B$506),"")</f>
        <v/>
      </c>
    </row>
    <row r="16">
      <c r="A16" s="33" t="n"/>
      <c r="B16" s="33" t="n"/>
      <c r="D16" s="32" t="inlineStr">
        <is>
          <t>R²</t>
        </is>
      </c>
      <c r="E16" s="38">
        <f>IFERROR(RSQ($B$7:$B$506,$A$7:$A$506),"")</f>
        <v/>
      </c>
    </row>
    <row r="17">
      <c r="A17" s="33" t="n"/>
      <c r="B17" s="33" t="n"/>
      <c r="D17" s="32" t="inlineStr">
        <is>
          <t>1 − R² (no explicado)</t>
        </is>
      </c>
      <c r="E17" s="38">
        <f>IFERROR(1-E16,"")</f>
        <v/>
      </c>
    </row>
    <row r="18">
      <c r="A18" s="33" t="n"/>
      <c r="B18" s="33" t="n"/>
      <c r="D18" s="32" t="inlineStr">
        <is>
          <t>Predicción de Y para X (E5)</t>
        </is>
      </c>
      <c r="E18" s="38">
        <f>IFERROR(_xlfn.FORECAST.LINEAR(E5,$B$7:$B$506,$A$7:$A$506),"")</f>
        <v/>
      </c>
    </row>
    <row r="19">
      <c r="A19" s="33" t="n"/>
      <c r="B19" s="33" t="n"/>
      <c r="D19" s="32" t="inlineStr">
        <is>
          <t>Pendiente b' (X sobre Y)</t>
        </is>
      </c>
      <c r="E19" s="38">
        <f>IFERROR(SLOPE($A$7:$A$506,$B$7:$B$506),"")</f>
        <v/>
      </c>
    </row>
    <row r="20">
      <c r="A20" s="33" t="n"/>
      <c r="B20" s="33" t="n"/>
      <c r="D20" s="32" t="inlineStr">
        <is>
          <t>Término a' (X sobre Y)</t>
        </is>
      </c>
      <c r="E20" s="38">
        <f>IFERROR(INTERCEPT($A$7:$A$506,$B$7:$B$506),"")</f>
        <v/>
      </c>
    </row>
    <row r="21">
      <c r="A21" s="33" t="n"/>
      <c r="B21" s="33" t="n"/>
    </row>
    <row r="22">
      <c r="A22" s="33" t="n"/>
      <c r="B22" s="33" t="n"/>
    </row>
    <row r="23">
      <c r="A23" s="33" t="n"/>
      <c r="B23" s="33" t="n"/>
    </row>
    <row r="24">
      <c r="A24" s="33" t="n"/>
      <c r="B24" s="33" t="n"/>
    </row>
    <row r="25">
      <c r="A25" s="33" t="n"/>
      <c r="B25" s="33" t="n"/>
    </row>
    <row r="26">
      <c r="A26" s="33" t="n"/>
      <c r="B26" s="33" t="n"/>
    </row>
    <row r="27">
      <c r="A27" s="33" t="n"/>
      <c r="B27" s="33" t="n"/>
    </row>
    <row r="28">
      <c r="A28" s="33" t="n"/>
      <c r="B28" s="33" t="n"/>
    </row>
    <row r="29">
      <c r="A29" s="33" t="n"/>
      <c r="B29" s="33" t="n"/>
    </row>
    <row r="30">
      <c r="A30" s="33" t="n"/>
      <c r="B30" s="33" t="n"/>
    </row>
    <row r="31">
      <c r="A31" s="33" t="n"/>
      <c r="B31" s="33" t="n"/>
    </row>
    <row r="32">
      <c r="A32" s="33" t="n"/>
      <c r="B32" s="33" t="n"/>
    </row>
    <row r="33">
      <c r="A33" s="33" t="n"/>
      <c r="B33" s="33" t="n"/>
    </row>
    <row r="34">
      <c r="A34" s="33" t="n"/>
      <c r="B34" s="33" t="n"/>
    </row>
    <row r="35">
      <c r="A35" s="33" t="n"/>
      <c r="B35" s="33" t="n"/>
    </row>
    <row r="36">
      <c r="A36" s="33" t="n"/>
      <c r="B36" s="33" t="n"/>
    </row>
    <row r="37">
      <c r="A37" s="33" t="n"/>
      <c r="B37" s="33" t="n"/>
    </row>
    <row r="38">
      <c r="A38" s="33" t="n"/>
      <c r="B38" s="33" t="n"/>
    </row>
    <row r="39">
      <c r="A39" s="33" t="n"/>
      <c r="B39" s="33" t="n"/>
    </row>
    <row r="40">
      <c r="A40" s="33" t="n"/>
      <c r="B40" s="33" t="n"/>
    </row>
    <row r="41">
      <c r="A41" s="33" t="n"/>
      <c r="B41" s="33" t="n"/>
    </row>
    <row r="42">
      <c r="A42" s="33" t="n"/>
      <c r="B42" s="33" t="n"/>
    </row>
    <row r="43">
      <c r="A43" s="33" t="n"/>
      <c r="B43" s="33" t="n"/>
    </row>
    <row r="44">
      <c r="A44" s="33" t="n"/>
      <c r="B44" s="33" t="n"/>
    </row>
    <row r="45">
      <c r="A45" s="33" t="n"/>
      <c r="B45" s="33" t="n"/>
    </row>
    <row r="46">
      <c r="A46" s="33" t="n"/>
      <c r="B46" s="33" t="n"/>
    </row>
    <row r="47">
      <c r="A47" s="33" t="n"/>
      <c r="B47" s="33" t="n"/>
    </row>
    <row r="48">
      <c r="A48" s="33" t="n"/>
      <c r="B48" s="33" t="n"/>
    </row>
    <row r="49">
      <c r="A49" s="33" t="n"/>
      <c r="B49" s="33" t="n"/>
    </row>
    <row r="50">
      <c r="A50" s="33" t="n"/>
      <c r="B50" s="33" t="n"/>
    </row>
    <row r="51">
      <c r="A51" s="33" t="n"/>
      <c r="B51" s="33" t="n"/>
    </row>
    <row r="52">
      <c r="A52" s="33" t="n"/>
      <c r="B52" s="33" t="n"/>
    </row>
    <row r="53">
      <c r="A53" s="33" t="n"/>
      <c r="B53" s="33" t="n"/>
    </row>
    <row r="54">
      <c r="A54" s="33" t="n"/>
      <c r="B54" s="33" t="n"/>
    </row>
    <row r="55">
      <c r="A55" s="33" t="n"/>
      <c r="B55" s="33" t="n"/>
    </row>
    <row r="56">
      <c r="A56" s="33" t="n"/>
      <c r="B56" s="33" t="n"/>
    </row>
    <row r="57">
      <c r="A57" s="33" t="n"/>
      <c r="B57" s="33" t="n"/>
    </row>
    <row r="58">
      <c r="A58" s="33" t="n"/>
      <c r="B58" s="33" t="n"/>
    </row>
    <row r="59">
      <c r="A59" s="33" t="n"/>
      <c r="B59" s="33" t="n"/>
    </row>
    <row r="60">
      <c r="A60" s="33" t="n"/>
      <c r="B60" s="33" t="n"/>
    </row>
    <row r="61">
      <c r="A61" s="33" t="n"/>
      <c r="B61" s="33" t="n"/>
    </row>
    <row r="62">
      <c r="A62" s="33" t="n"/>
      <c r="B62" s="33" t="n"/>
    </row>
    <row r="63">
      <c r="A63" s="33" t="n"/>
      <c r="B63" s="33" t="n"/>
    </row>
    <row r="64">
      <c r="A64" s="33" t="n"/>
      <c r="B64" s="33" t="n"/>
    </row>
    <row r="65">
      <c r="A65" s="33" t="n"/>
      <c r="B65" s="33" t="n"/>
    </row>
    <row r="66">
      <c r="A66" s="33" t="n"/>
      <c r="B66" s="33" t="n"/>
    </row>
    <row r="67">
      <c r="A67" s="33" t="n"/>
      <c r="B67" s="33" t="n"/>
    </row>
    <row r="68">
      <c r="A68" s="33" t="n"/>
      <c r="B68" s="33" t="n"/>
    </row>
    <row r="69">
      <c r="A69" s="33" t="n"/>
      <c r="B69" s="33" t="n"/>
    </row>
    <row r="70">
      <c r="A70" s="33" t="n"/>
      <c r="B70" s="33" t="n"/>
    </row>
    <row r="71">
      <c r="A71" s="33" t="n"/>
      <c r="B71" s="33" t="n"/>
    </row>
    <row r="72">
      <c r="A72" s="33" t="n"/>
      <c r="B72" s="33" t="n"/>
    </row>
    <row r="73">
      <c r="A73" s="33" t="n"/>
      <c r="B73" s="33" t="n"/>
    </row>
    <row r="74">
      <c r="A74" s="33" t="n"/>
      <c r="B74" s="33" t="n"/>
    </row>
    <row r="75">
      <c r="A75" s="33" t="n"/>
      <c r="B75" s="33" t="n"/>
    </row>
    <row r="76">
      <c r="A76" s="33" t="n"/>
      <c r="B76" s="33" t="n"/>
    </row>
    <row r="77">
      <c r="A77" s="33" t="n"/>
      <c r="B77" s="33" t="n"/>
    </row>
    <row r="78">
      <c r="A78" s="33" t="n"/>
      <c r="B78" s="33" t="n"/>
    </row>
    <row r="79">
      <c r="A79" s="33" t="n"/>
      <c r="B79" s="33" t="n"/>
    </row>
    <row r="80">
      <c r="A80" s="33" t="n"/>
      <c r="B80" s="33" t="n"/>
    </row>
    <row r="81">
      <c r="A81" s="33" t="n"/>
      <c r="B81" s="33" t="n"/>
    </row>
    <row r="82">
      <c r="A82" s="33" t="n"/>
      <c r="B82" s="33" t="n"/>
    </row>
    <row r="83">
      <c r="A83" s="33" t="n"/>
      <c r="B83" s="33" t="n"/>
    </row>
    <row r="84">
      <c r="A84" s="33" t="n"/>
      <c r="B84" s="33" t="n"/>
    </row>
    <row r="85">
      <c r="A85" s="33" t="n"/>
      <c r="B85" s="33" t="n"/>
    </row>
    <row r="86">
      <c r="A86" s="33" t="n"/>
      <c r="B86" s="33" t="n"/>
    </row>
    <row r="87">
      <c r="A87" s="33" t="n"/>
      <c r="B87" s="33" t="n"/>
    </row>
    <row r="88">
      <c r="A88" s="33" t="n"/>
      <c r="B88" s="33" t="n"/>
    </row>
    <row r="89">
      <c r="A89" s="33" t="n"/>
      <c r="B89" s="33" t="n"/>
    </row>
    <row r="90">
      <c r="A90" s="33" t="n"/>
      <c r="B90" s="33" t="n"/>
    </row>
    <row r="91">
      <c r="A91" s="33" t="n"/>
      <c r="B91" s="33" t="n"/>
    </row>
    <row r="92">
      <c r="A92" s="33" t="n"/>
      <c r="B92" s="33" t="n"/>
    </row>
    <row r="93">
      <c r="A93" s="33" t="n"/>
      <c r="B93" s="33" t="n"/>
    </row>
    <row r="94">
      <c r="A94" s="33" t="n"/>
      <c r="B94" s="33" t="n"/>
    </row>
    <row r="95">
      <c r="A95" s="33" t="n"/>
      <c r="B95" s="33" t="n"/>
    </row>
    <row r="96">
      <c r="A96" s="33" t="n"/>
      <c r="B96" s="33" t="n"/>
    </row>
    <row r="97">
      <c r="A97" s="33" t="n"/>
      <c r="B97" s="33" t="n"/>
    </row>
    <row r="98">
      <c r="A98" s="33" t="n"/>
      <c r="B98" s="33" t="n"/>
    </row>
    <row r="99">
      <c r="A99" s="33" t="n"/>
      <c r="B99" s="33" t="n"/>
    </row>
    <row r="100">
      <c r="A100" s="33" t="n"/>
      <c r="B100" s="33" t="n"/>
    </row>
    <row r="101">
      <c r="A101" s="33" t="n"/>
      <c r="B101" s="33" t="n"/>
    </row>
    <row r="102">
      <c r="A102" s="33" t="n"/>
      <c r="B102" s="33" t="n"/>
    </row>
    <row r="103">
      <c r="A103" s="33" t="n"/>
      <c r="B103" s="33" t="n"/>
    </row>
    <row r="104">
      <c r="A104" s="33" t="n"/>
      <c r="B104" s="33" t="n"/>
    </row>
    <row r="105">
      <c r="A105" s="33" t="n"/>
      <c r="B105" s="33" t="n"/>
    </row>
    <row r="106">
      <c r="A106" s="33" t="n"/>
      <c r="B106" s="33" t="n"/>
    </row>
    <row r="107">
      <c r="A107" s="33" t="n"/>
      <c r="B107" s="33" t="n"/>
    </row>
    <row r="108">
      <c r="A108" s="33" t="n"/>
      <c r="B108" s="33" t="n"/>
    </row>
    <row r="109">
      <c r="A109" s="33" t="n"/>
      <c r="B109" s="33" t="n"/>
    </row>
    <row r="110">
      <c r="A110" s="33" t="n"/>
      <c r="B110" s="33" t="n"/>
    </row>
    <row r="111">
      <c r="A111" s="33" t="n"/>
      <c r="B111" s="33" t="n"/>
    </row>
    <row r="112">
      <c r="A112" s="33" t="n"/>
      <c r="B112" s="33" t="n"/>
    </row>
    <row r="113">
      <c r="A113" s="33" t="n"/>
      <c r="B113" s="33" t="n"/>
    </row>
    <row r="114">
      <c r="A114" s="33" t="n"/>
      <c r="B114" s="33" t="n"/>
    </row>
    <row r="115">
      <c r="A115" s="33" t="n"/>
      <c r="B115" s="33" t="n"/>
    </row>
    <row r="116">
      <c r="A116" s="33" t="n"/>
      <c r="B116" s="33" t="n"/>
    </row>
    <row r="117">
      <c r="A117" s="33" t="n"/>
      <c r="B117" s="33" t="n"/>
    </row>
    <row r="118">
      <c r="A118" s="33" t="n"/>
      <c r="B118" s="33" t="n"/>
    </row>
    <row r="119">
      <c r="A119" s="33" t="n"/>
      <c r="B119" s="33" t="n"/>
    </row>
    <row r="120">
      <c r="A120" s="33" t="n"/>
      <c r="B120" s="33" t="n"/>
    </row>
    <row r="121">
      <c r="A121" s="33" t="n"/>
      <c r="B121" s="33" t="n"/>
    </row>
    <row r="122">
      <c r="A122" s="33" t="n"/>
      <c r="B122" s="33" t="n"/>
    </row>
    <row r="123">
      <c r="A123" s="33" t="n"/>
      <c r="B123" s="33" t="n"/>
    </row>
    <row r="124">
      <c r="A124" s="33" t="n"/>
      <c r="B124" s="33" t="n"/>
    </row>
    <row r="125">
      <c r="A125" s="33" t="n"/>
      <c r="B125" s="33" t="n"/>
    </row>
    <row r="126">
      <c r="A126" s="33" t="n"/>
      <c r="B126" s="33" t="n"/>
    </row>
    <row r="127">
      <c r="A127" s="33" t="n"/>
      <c r="B127" s="33" t="n"/>
    </row>
    <row r="128">
      <c r="A128" s="33" t="n"/>
      <c r="B128" s="33" t="n"/>
    </row>
    <row r="129">
      <c r="A129" s="33" t="n"/>
      <c r="B129" s="33" t="n"/>
    </row>
    <row r="130">
      <c r="A130" s="33" t="n"/>
      <c r="B130" s="33" t="n"/>
    </row>
    <row r="131">
      <c r="A131" s="33" t="n"/>
      <c r="B131" s="33" t="n"/>
    </row>
    <row r="132">
      <c r="A132" s="33" t="n"/>
      <c r="B132" s="33" t="n"/>
    </row>
    <row r="133">
      <c r="A133" s="33" t="n"/>
      <c r="B133" s="33" t="n"/>
    </row>
    <row r="134">
      <c r="A134" s="33" t="n"/>
      <c r="B134" s="33" t="n"/>
    </row>
    <row r="135">
      <c r="A135" s="33" t="n"/>
      <c r="B135" s="33" t="n"/>
    </row>
    <row r="136">
      <c r="A136" s="33" t="n"/>
      <c r="B136" s="33" t="n"/>
    </row>
    <row r="137">
      <c r="A137" s="33" t="n"/>
      <c r="B137" s="33" t="n"/>
    </row>
    <row r="138">
      <c r="A138" s="33" t="n"/>
      <c r="B138" s="33" t="n"/>
    </row>
    <row r="139">
      <c r="A139" s="33" t="n"/>
      <c r="B139" s="33" t="n"/>
    </row>
    <row r="140">
      <c r="A140" s="33" t="n"/>
      <c r="B140" s="33" t="n"/>
    </row>
    <row r="141">
      <c r="A141" s="33" t="n"/>
      <c r="B141" s="33" t="n"/>
    </row>
    <row r="142">
      <c r="A142" s="33" t="n"/>
      <c r="B142" s="33" t="n"/>
    </row>
    <row r="143">
      <c r="A143" s="33" t="n"/>
      <c r="B143" s="33" t="n"/>
    </row>
    <row r="144">
      <c r="A144" s="33" t="n"/>
      <c r="B144" s="33" t="n"/>
    </row>
    <row r="145">
      <c r="A145" s="33" t="n"/>
      <c r="B145" s="33" t="n"/>
    </row>
    <row r="146">
      <c r="A146" s="33" t="n"/>
      <c r="B146" s="33" t="n"/>
    </row>
    <row r="147">
      <c r="A147" s="33" t="n"/>
      <c r="B147" s="33" t="n"/>
    </row>
    <row r="148">
      <c r="A148" s="33" t="n"/>
      <c r="B148" s="33" t="n"/>
    </row>
    <row r="149">
      <c r="A149" s="33" t="n"/>
      <c r="B149" s="33" t="n"/>
    </row>
    <row r="150">
      <c r="A150" s="33" t="n"/>
      <c r="B150" s="33" t="n"/>
    </row>
    <row r="151">
      <c r="A151" s="33" t="n"/>
      <c r="B151" s="33" t="n"/>
    </row>
    <row r="152">
      <c r="A152" s="33" t="n"/>
      <c r="B152" s="33" t="n"/>
    </row>
    <row r="153">
      <c r="A153" s="33" t="n"/>
      <c r="B153" s="33" t="n"/>
    </row>
    <row r="154">
      <c r="A154" s="33" t="n"/>
      <c r="B154" s="33" t="n"/>
    </row>
    <row r="155">
      <c r="A155" s="33" t="n"/>
      <c r="B155" s="33" t="n"/>
    </row>
    <row r="156">
      <c r="A156" s="33" t="n"/>
      <c r="B156" s="33" t="n"/>
    </row>
    <row r="157">
      <c r="A157" s="33" t="n"/>
      <c r="B157" s="33" t="n"/>
    </row>
    <row r="158">
      <c r="A158" s="33" t="n"/>
      <c r="B158" s="33" t="n"/>
    </row>
    <row r="159">
      <c r="A159" s="33" t="n"/>
      <c r="B159" s="33" t="n"/>
    </row>
    <row r="160">
      <c r="A160" s="33" t="n"/>
      <c r="B160" s="33" t="n"/>
    </row>
    <row r="161">
      <c r="A161" s="33" t="n"/>
      <c r="B161" s="33" t="n"/>
    </row>
    <row r="162">
      <c r="A162" s="33" t="n"/>
      <c r="B162" s="33" t="n"/>
    </row>
    <row r="163">
      <c r="A163" s="33" t="n"/>
      <c r="B163" s="33" t="n"/>
    </row>
    <row r="164">
      <c r="A164" s="33" t="n"/>
      <c r="B164" s="33" t="n"/>
    </row>
    <row r="165">
      <c r="A165" s="33" t="n"/>
      <c r="B165" s="33" t="n"/>
    </row>
    <row r="166">
      <c r="A166" s="33" t="n"/>
      <c r="B166" s="33" t="n"/>
    </row>
    <row r="167">
      <c r="A167" s="33" t="n"/>
      <c r="B167" s="33" t="n"/>
    </row>
    <row r="168">
      <c r="A168" s="33" t="n"/>
      <c r="B168" s="33" t="n"/>
    </row>
    <row r="169">
      <c r="A169" s="33" t="n"/>
      <c r="B169" s="33" t="n"/>
    </row>
    <row r="170">
      <c r="A170" s="33" t="n"/>
      <c r="B170" s="33" t="n"/>
    </row>
    <row r="171">
      <c r="A171" s="33" t="n"/>
      <c r="B171" s="33" t="n"/>
    </row>
    <row r="172">
      <c r="A172" s="33" t="n"/>
      <c r="B172" s="33" t="n"/>
    </row>
    <row r="173">
      <c r="A173" s="33" t="n"/>
      <c r="B173" s="33" t="n"/>
    </row>
    <row r="174">
      <c r="A174" s="33" t="n"/>
      <c r="B174" s="33" t="n"/>
    </row>
    <row r="175">
      <c r="A175" s="33" t="n"/>
      <c r="B175" s="33" t="n"/>
    </row>
    <row r="176">
      <c r="A176" s="33" t="n"/>
      <c r="B176" s="33" t="n"/>
    </row>
    <row r="177">
      <c r="A177" s="33" t="n"/>
      <c r="B177" s="33" t="n"/>
    </row>
    <row r="178">
      <c r="A178" s="33" t="n"/>
      <c r="B178" s="33" t="n"/>
    </row>
    <row r="179">
      <c r="A179" s="33" t="n"/>
      <c r="B179" s="33" t="n"/>
    </row>
    <row r="180">
      <c r="A180" s="33" t="n"/>
      <c r="B180" s="33" t="n"/>
    </row>
    <row r="181">
      <c r="A181" s="33" t="n"/>
      <c r="B181" s="33" t="n"/>
    </row>
    <row r="182">
      <c r="A182" s="33" t="n"/>
      <c r="B182" s="33" t="n"/>
    </row>
    <row r="183">
      <c r="A183" s="33" t="n"/>
      <c r="B183" s="33" t="n"/>
    </row>
    <row r="184">
      <c r="A184" s="33" t="n"/>
      <c r="B184" s="33" t="n"/>
    </row>
    <row r="185">
      <c r="A185" s="33" t="n"/>
      <c r="B185" s="33" t="n"/>
    </row>
    <row r="186">
      <c r="A186" s="33" t="n"/>
      <c r="B186" s="33" t="n"/>
    </row>
    <row r="187">
      <c r="A187" s="33" t="n"/>
      <c r="B187" s="33" t="n"/>
    </row>
    <row r="188">
      <c r="A188" s="33" t="n"/>
      <c r="B188" s="33" t="n"/>
    </row>
    <row r="189">
      <c r="A189" s="33" t="n"/>
      <c r="B189" s="33" t="n"/>
    </row>
    <row r="190">
      <c r="A190" s="33" t="n"/>
      <c r="B190" s="33" t="n"/>
    </row>
    <row r="191">
      <c r="A191" s="33" t="n"/>
      <c r="B191" s="33" t="n"/>
    </row>
    <row r="192">
      <c r="A192" s="33" t="n"/>
      <c r="B192" s="33" t="n"/>
    </row>
    <row r="193">
      <c r="A193" s="33" t="n"/>
      <c r="B193" s="33" t="n"/>
    </row>
    <row r="194">
      <c r="A194" s="33" t="n"/>
      <c r="B194" s="33" t="n"/>
    </row>
    <row r="195">
      <c r="A195" s="33" t="n"/>
      <c r="B195" s="33" t="n"/>
    </row>
    <row r="196">
      <c r="A196" s="33" t="n"/>
      <c r="B196" s="33" t="n"/>
    </row>
    <row r="197">
      <c r="A197" s="33" t="n"/>
      <c r="B197" s="33" t="n"/>
    </row>
    <row r="198">
      <c r="A198" s="33" t="n"/>
      <c r="B198" s="33" t="n"/>
    </row>
    <row r="199">
      <c r="A199" s="33" t="n"/>
      <c r="B199" s="33" t="n"/>
    </row>
    <row r="200">
      <c r="A200" s="33" t="n"/>
      <c r="B200" s="33" t="n"/>
    </row>
    <row r="201">
      <c r="A201" s="33" t="n"/>
      <c r="B201" s="33" t="n"/>
    </row>
    <row r="202">
      <c r="A202" s="33" t="n"/>
      <c r="B202" s="33" t="n"/>
    </row>
    <row r="203">
      <c r="A203" s="33" t="n"/>
      <c r="B203" s="33" t="n"/>
    </row>
    <row r="204">
      <c r="A204" s="33" t="n"/>
      <c r="B204" s="33" t="n"/>
    </row>
    <row r="205">
      <c r="A205" s="33" t="n"/>
      <c r="B205" s="33" t="n"/>
    </row>
    <row r="206">
      <c r="A206" s="33" t="n"/>
      <c r="B206" s="33" t="n"/>
    </row>
    <row r="207">
      <c r="A207" s="33" t="n"/>
      <c r="B207" s="33" t="n"/>
    </row>
    <row r="208">
      <c r="A208" s="33" t="n"/>
      <c r="B208" s="33" t="n"/>
    </row>
    <row r="209">
      <c r="A209" s="33" t="n"/>
      <c r="B209" s="33" t="n"/>
    </row>
    <row r="210">
      <c r="A210" s="33" t="n"/>
      <c r="B210" s="33" t="n"/>
    </row>
    <row r="211">
      <c r="A211" s="33" t="n"/>
      <c r="B211" s="33" t="n"/>
    </row>
    <row r="212">
      <c r="A212" s="33" t="n"/>
      <c r="B212" s="33" t="n"/>
    </row>
    <row r="213">
      <c r="A213" s="33" t="n"/>
      <c r="B213" s="33" t="n"/>
    </row>
    <row r="214">
      <c r="A214" s="33" t="n"/>
      <c r="B214" s="33" t="n"/>
    </row>
    <row r="215">
      <c r="A215" s="33" t="n"/>
      <c r="B215" s="33" t="n"/>
    </row>
    <row r="216">
      <c r="A216" s="33" t="n"/>
      <c r="B216" s="33" t="n"/>
    </row>
    <row r="217">
      <c r="A217" s="33" t="n"/>
      <c r="B217" s="33" t="n"/>
    </row>
    <row r="218">
      <c r="A218" s="33" t="n"/>
      <c r="B218" s="33" t="n"/>
    </row>
    <row r="219">
      <c r="A219" s="33" t="n"/>
      <c r="B219" s="33" t="n"/>
    </row>
    <row r="220">
      <c r="A220" s="33" t="n"/>
      <c r="B220" s="33" t="n"/>
    </row>
    <row r="221">
      <c r="A221" s="33" t="n"/>
      <c r="B221" s="33" t="n"/>
    </row>
    <row r="222">
      <c r="A222" s="33" t="n"/>
      <c r="B222" s="33" t="n"/>
    </row>
    <row r="223">
      <c r="A223" s="33" t="n"/>
      <c r="B223" s="33" t="n"/>
    </row>
    <row r="224">
      <c r="A224" s="33" t="n"/>
      <c r="B224" s="33" t="n"/>
    </row>
    <row r="225">
      <c r="A225" s="33" t="n"/>
      <c r="B225" s="33" t="n"/>
    </row>
    <row r="226">
      <c r="A226" s="33" t="n"/>
      <c r="B226" s="33" t="n"/>
    </row>
    <row r="227">
      <c r="A227" s="33" t="n"/>
      <c r="B227" s="33" t="n"/>
    </row>
    <row r="228">
      <c r="A228" s="33" t="n"/>
      <c r="B228" s="33" t="n"/>
    </row>
    <row r="229">
      <c r="A229" s="33" t="n"/>
      <c r="B229" s="33" t="n"/>
    </row>
    <row r="230">
      <c r="A230" s="33" t="n"/>
      <c r="B230" s="33" t="n"/>
    </row>
    <row r="231">
      <c r="A231" s="33" t="n"/>
      <c r="B231" s="33" t="n"/>
    </row>
    <row r="232">
      <c r="A232" s="33" t="n"/>
      <c r="B232" s="33" t="n"/>
    </row>
    <row r="233">
      <c r="A233" s="33" t="n"/>
      <c r="B233" s="33" t="n"/>
    </row>
    <row r="234">
      <c r="A234" s="33" t="n"/>
      <c r="B234" s="33" t="n"/>
    </row>
    <row r="235">
      <c r="A235" s="33" t="n"/>
      <c r="B235" s="33" t="n"/>
    </row>
    <row r="236">
      <c r="A236" s="33" t="n"/>
      <c r="B236" s="33" t="n"/>
    </row>
    <row r="237">
      <c r="A237" s="33" t="n"/>
      <c r="B237" s="33" t="n"/>
    </row>
    <row r="238">
      <c r="A238" s="33" t="n"/>
      <c r="B238" s="33" t="n"/>
    </row>
    <row r="239">
      <c r="A239" s="33" t="n"/>
      <c r="B239" s="33" t="n"/>
    </row>
    <row r="240">
      <c r="A240" s="33" t="n"/>
      <c r="B240" s="33" t="n"/>
    </row>
    <row r="241">
      <c r="A241" s="33" t="n"/>
      <c r="B241" s="33" t="n"/>
    </row>
    <row r="242">
      <c r="A242" s="33" t="n"/>
      <c r="B242" s="33" t="n"/>
    </row>
    <row r="243">
      <c r="A243" s="33" t="n"/>
      <c r="B243" s="33" t="n"/>
    </row>
    <row r="244">
      <c r="A244" s="33" t="n"/>
      <c r="B244" s="33" t="n"/>
    </row>
    <row r="245">
      <c r="A245" s="33" t="n"/>
      <c r="B245" s="33" t="n"/>
    </row>
    <row r="246">
      <c r="A246" s="33" t="n"/>
      <c r="B246" s="33" t="n"/>
    </row>
    <row r="247">
      <c r="A247" s="33" t="n"/>
      <c r="B247" s="33" t="n"/>
    </row>
    <row r="248">
      <c r="A248" s="33" t="n"/>
      <c r="B248" s="33" t="n"/>
    </row>
    <row r="249">
      <c r="A249" s="33" t="n"/>
      <c r="B249" s="33" t="n"/>
    </row>
    <row r="250">
      <c r="A250" s="33" t="n"/>
      <c r="B250" s="33" t="n"/>
    </row>
    <row r="251">
      <c r="A251" s="33" t="n"/>
      <c r="B251" s="33" t="n"/>
    </row>
    <row r="252">
      <c r="A252" s="33" t="n"/>
      <c r="B252" s="33" t="n"/>
    </row>
    <row r="253">
      <c r="A253" s="33" t="n"/>
      <c r="B253" s="33" t="n"/>
    </row>
    <row r="254">
      <c r="A254" s="33" t="n"/>
      <c r="B254" s="33" t="n"/>
    </row>
    <row r="255">
      <c r="A255" s="33" t="n"/>
      <c r="B255" s="33" t="n"/>
    </row>
    <row r="256">
      <c r="A256" s="33" t="n"/>
      <c r="B256" s="33" t="n"/>
    </row>
    <row r="257">
      <c r="A257" s="33" t="n"/>
      <c r="B257" s="33" t="n"/>
    </row>
    <row r="258">
      <c r="A258" s="33" t="n"/>
      <c r="B258" s="33" t="n"/>
    </row>
    <row r="259">
      <c r="A259" s="33" t="n"/>
      <c r="B259" s="33" t="n"/>
    </row>
    <row r="260">
      <c r="A260" s="33" t="n"/>
      <c r="B260" s="33" t="n"/>
    </row>
    <row r="261">
      <c r="A261" s="33" t="n"/>
      <c r="B261" s="33" t="n"/>
    </row>
    <row r="262">
      <c r="A262" s="33" t="n"/>
      <c r="B262" s="33" t="n"/>
    </row>
    <row r="263">
      <c r="A263" s="33" t="n"/>
      <c r="B263" s="33" t="n"/>
    </row>
    <row r="264">
      <c r="A264" s="33" t="n"/>
      <c r="B264" s="33" t="n"/>
    </row>
    <row r="265">
      <c r="A265" s="33" t="n"/>
      <c r="B265" s="33" t="n"/>
    </row>
    <row r="266">
      <c r="A266" s="33" t="n"/>
      <c r="B266" s="33" t="n"/>
    </row>
    <row r="267">
      <c r="A267" s="33" t="n"/>
      <c r="B267" s="33" t="n"/>
    </row>
    <row r="268">
      <c r="A268" s="33" t="n"/>
      <c r="B268" s="33" t="n"/>
    </row>
    <row r="269">
      <c r="A269" s="33" t="n"/>
      <c r="B269" s="33" t="n"/>
    </row>
    <row r="270">
      <c r="A270" s="33" t="n"/>
      <c r="B270" s="33" t="n"/>
    </row>
    <row r="271">
      <c r="A271" s="33" t="n"/>
      <c r="B271" s="33" t="n"/>
    </row>
    <row r="272">
      <c r="A272" s="33" t="n"/>
      <c r="B272" s="33" t="n"/>
    </row>
    <row r="273">
      <c r="A273" s="33" t="n"/>
      <c r="B273" s="33" t="n"/>
    </row>
    <row r="274">
      <c r="A274" s="33" t="n"/>
      <c r="B274" s="33" t="n"/>
    </row>
    <row r="275">
      <c r="A275" s="33" t="n"/>
      <c r="B275" s="33" t="n"/>
    </row>
    <row r="276">
      <c r="A276" s="33" t="n"/>
      <c r="B276" s="33" t="n"/>
    </row>
    <row r="277">
      <c r="A277" s="33" t="n"/>
      <c r="B277" s="33" t="n"/>
    </row>
    <row r="278">
      <c r="A278" s="33" t="n"/>
      <c r="B278" s="33" t="n"/>
    </row>
    <row r="279">
      <c r="A279" s="33" t="n"/>
      <c r="B279" s="33" t="n"/>
    </row>
    <row r="280">
      <c r="A280" s="33" t="n"/>
      <c r="B280" s="33" t="n"/>
    </row>
    <row r="281">
      <c r="A281" s="33" t="n"/>
      <c r="B281" s="33" t="n"/>
    </row>
    <row r="282">
      <c r="A282" s="33" t="n"/>
      <c r="B282" s="33" t="n"/>
    </row>
    <row r="283">
      <c r="A283" s="33" t="n"/>
      <c r="B283" s="33" t="n"/>
    </row>
    <row r="284">
      <c r="A284" s="33" t="n"/>
      <c r="B284" s="33" t="n"/>
    </row>
    <row r="285">
      <c r="A285" s="33" t="n"/>
      <c r="B285" s="33" t="n"/>
    </row>
    <row r="286">
      <c r="A286" s="33" t="n"/>
      <c r="B286" s="33" t="n"/>
    </row>
    <row r="287">
      <c r="A287" s="33" t="n"/>
      <c r="B287" s="33" t="n"/>
    </row>
    <row r="288">
      <c r="A288" s="33" t="n"/>
      <c r="B288" s="33" t="n"/>
    </row>
    <row r="289">
      <c r="A289" s="33" t="n"/>
      <c r="B289" s="33" t="n"/>
    </row>
    <row r="290">
      <c r="A290" s="33" t="n"/>
      <c r="B290" s="33" t="n"/>
    </row>
    <row r="291">
      <c r="A291" s="33" t="n"/>
      <c r="B291" s="33" t="n"/>
    </row>
    <row r="292">
      <c r="A292" s="33" t="n"/>
      <c r="B292" s="33" t="n"/>
    </row>
    <row r="293">
      <c r="A293" s="33" t="n"/>
      <c r="B293" s="33" t="n"/>
    </row>
    <row r="294">
      <c r="A294" s="33" t="n"/>
      <c r="B294" s="33" t="n"/>
    </row>
    <row r="295">
      <c r="A295" s="33" t="n"/>
      <c r="B295" s="33" t="n"/>
    </row>
    <row r="296">
      <c r="A296" s="33" t="n"/>
      <c r="B296" s="33" t="n"/>
    </row>
    <row r="297">
      <c r="A297" s="33" t="n"/>
      <c r="B297" s="33" t="n"/>
    </row>
    <row r="298">
      <c r="A298" s="33" t="n"/>
      <c r="B298" s="33" t="n"/>
    </row>
    <row r="299">
      <c r="A299" s="33" t="n"/>
      <c r="B299" s="33" t="n"/>
    </row>
    <row r="300">
      <c r="A300" s="33" t="n"/>
      <c r="B300" s="33" t="n"/>
    </row>
    <row r="301">
      <c r="A301" s="33" t="n"/>
      <c r="B301" s="33" t="n"/>
    </row>
    <row r="302">
      <c r="A302" s="33" t="n"/>
      <c r="B302" s="33" t="n"/>
    </row>
    <row r="303">
      <c r="A303" s="33" t="n"/>
      <c r="B303" s="33" t="n"/>
    </row>
    <row r="304">
      <c r="A304" s="33" t="n"/>
      <c r="B304" s="33" t="n"/>
    </row>
    <row r="305">
      <c r="A305" s="33" t="n"/>
      <c r="B305" s="33" t="n"/>
    </row>
    <row r="306">
      <c r="A306" s="33" t="n"/>
      <c r="B306" s="33" t="n"/>
    </row>
    <row r="307">
      <c r="A307" s="33" t="n"/>
      <c r="B307" s="33" t="n"/>
    </row>
    <row r="308">
      <c r="A308" s="33" t="n"/>
      <c r="B308" s="33" t="n"/>
    </row>
    <row r="309">
      <c r="A309" s="33" t="n"/>
      <c r="B309" s="33" t="n"/>
    </row>
    <row r="310">
      <c r="A310" s="33" t="n"/>
      <c r="B310" s="33" t="n"/>
    </row>
    <row r="311">
      <c r="A311" s="33" t="n"/>
      <c r="B311" s="33" t="n"/>
    </row>
    <row r="312">
      <c r="A312" s="33" t="n"/>
      <c r="B312" s="33" t="n"/>
    </row>
    <row r="313">
      <c r="A313" s="33" t="n"/>
      <c r="B313" s="33" t="n"/>
    </row>
    <row r="314">
      <c r="A314" s="33" t="n"/>
      <c r="B314" s="33" t="n"/>
    </row>
    <row r="315">
      <c r="A315" s="33" t="n"/>
      <c r="B315" s="33" t="n"/>
    </row>
    <row r="316">
      <c r="A316" s="33" t="n"/>
      <c r="B316" s="33" t="n"/>
    </row>
    <row r="317">
      <c r="A317" s="33" t="n"/>
      <c r="B317" s="33" t="n"/>
    </row>
    <row r="318">
      <c r="A318" s="33" t="n"/>
      <c r="B318" s="33" t="n"/>
    </row>
    <row r="319">
      <c r="A319" s="33" t="n"/>
      <c r="B319" s="33" t="n"/>
    </row>
    <row r="320">
      <c r="A320" s="33" t="n"/>
      <c r="B320" s="33" t="n"/>
    </row>
    <row r="321">
      <c r="A321" s="33" t="n"/>
      <c r="B321" s="33" t="n"/>
    </row>
    <row r="322">
      <c r="A322" s="33" t="n"/>
      <c r="B322" s="33" t="n"/>
    </row>
    <row r="323">
      <c r="A323" s="33" t="n"/>
      <c r="B323" s="33" t="n"/>
    </row>
    <row r="324">
      <c r="A324" s="33" t="n"/>
      <c r="B324" s="33" t="n"/>
    </row>
    <row r="325">
      <c r="A325" s="33" t="n"/>
      <c r="B325" s="33" t="n"/>
    </row>
    <row r="326">
      <c r="A326" s="33" t="n"/>
      <c r="B326" s="33" t="n"/>
    </row>
    <row r="327">
      <c r="A327" s="33" t="n"/>
      <c r="B327" s="33" t="n"/>
    </row>
    <row r="328">
      <c r="A328" s="33" t="n"/>
      <c r="B328" s="33" t="n"/>
    </row>
    <row r="329">
      <c r="A329" s="33" t="n"/>
      <c r="B329" s="33" t="n"/>
    </row>
    <row r="330">
      <c r="A330" s="33" t="n"/>
      <c r="B330" s="33" t="n"/>
    </row>
    <row r="331">
      <c r="A331" s="33" t="n"/>
      <c r="B331" s="33" t="n"/>
    </row>
    <row r="332">
      <c r="A332" s="33" t="n"/>
      <c r="B332" s="33" t="n"/>
    </row>
    <row r="333">
      <c r="A333" s="33" t="n"/>
      <c r="B333" s="33" t="n"/>
    </row>
    <row r="334">
      <c r="A334" s="33" t="n"/>
      <c r="B334" s="33" t="n"/>
    </row>
    <row r="335">
      <c r="A335" s="33" t="n"/>
      <c r="B335" s="33" t="n"/>
    </row>
    <row r="336">
      <c r="A336" s="33" t="n"/>
      <c r="B336" s="33" t="n"/>
    </row>
    <row r="337">
      <c r="A337" s="33" t="n"/>
      <c r="B337" s="33" t="n"/>
    </row>
    <row r="338">
      <c r="A338" s="33" t="n"/>
      <c r="B338" s="33" t="n"/>
    </row>
    <row r="339">
      <c r="A339" s="33" t="n"/>
      <c r="B339" s="33" t="n"/>
    </row>
    <row r="340">
      <c r="A340" s="33" t="n"/>
      <c r="B340" s="33" t="n"/>
    </row>
    <row r="341">
      <c r="A341" s="33" t="n"/>
      <c r="B341" s="33" t="n"/>
    </row>
    <row r="342">
      <c r="A342" s="33" t="n"/>
      <c r="B342" s="33" t="n"/>
    </row>
    <row r="343">
      <c r="A343" s="33" t="n"/>
      <c r="B343" s="33" t="n"/>
    </row>
    <row r="344">
      <c r="A344" s="33" t="n"/>
      <c r="B344" s="33" t="n"/>
    </row>
    <row r="345">
      <c r="A345" s="33" t="n"/>
      <c r="B345" s="33" t="n"/>
    </row>
    <row r="346">
      <c r="A346" s="33" t="n"/>
      <c r="B346" s="33" t="n"/>
    </row>
    <row r="347">
      <c r="A347" s="33" t="n"/>
      <c r="B347" s="33" t="n"/>
    </row>
    <row r="348">
      <c r="A348" s="33" t="n"/>
      <c r="B348" s="33" t="n"/>
    </row>
    <row r="349">
      <c r="A349" s="33" t="n"/>
      <c r="B349" s="33" t="n"/>
    </row>
    <row r="350">
      <c r="A350" s="33" t="n"/>
      <c r="B350" s="33" t="n"/>
    </row>
    <row r="351">
      <c r="A351" s="33" t="n"/>
      <c r="B351" s="33" t="n"/>
    </row>
    <row r="352">
      <c r="A352" s="33" t="n"/>
      <c r="B352" s="33" t="n"/>
    </row>
    <row r="353">
      <c r="A353" s="33" t="n"/>
      <c r="B353" s="33" t="n"/>
    </row>
    <row r="354">
      <c r="A354" s="33" t="n"/>
      <c r="B354" s="33" t="n"/>
    </row>
    <row r="355">
      <c r="A355" s="33" t="n"/>
      <c r="B355" s="33" t="n"/>
    </row>
    <row r="356">
      <c r="A356" s="33" t="n"/>
      <c r="B356" s="33" t="n"/>
    </row>
    <row r="357">
      <c r="A357" s="33" t="n"/>
      <c r="B357" s="33" t="n"/>
    </row>
    <row r="358">
      <c r="A358" s="33" t="n"/>
      <c r="B358" s="33" t="n"/>
    </row>
    <row r="359">
      <c r="A359" s="33" t="n"/>
      <c r="B359" s="33" t="n"/>
    </row>
    <row r="360">
      <c r="A360" s="33" t="n"/>
      <c r="B360" s="33" t="n"/>
    </row>
    <row r="361">
      <c r="A361" s="33" t="n"/>
      <c r="B361" s="33" t="n"/>
    </row>
    <row r="362">
      <c r="A362" s="33" t="n"/>
      <c r="B362" s="33" t="n"/>
    </row>
    <row r="363">
      <c r="A363" s="33" t="n"/>
      <c r="B363" s="33" t="n"/>
    </row>
    <row r="364">
      <c r="A364" s="33" t="n"/>
      <c r="B364" s="33" t="n"/>
    </row>
    <row r="365">
      <c r="A365" s="33" t="n"/>
      <c r="B365" s="33" t="n"/>
    </row>
    <row r="366">
      <c r="A366" s="33" t="n"/>
      <c r="B366" s="33" t="n"/>
    </row>
    <row r="367">
      <c r="A367" s="33" t="n"/>
      <c r="B367" s="33" t="n"/>
    </row>
    <row r="368">
      <c r="A368" s="33" t="n"/>
      <c r="B368" s="33" t="n"/>
    </row>
    <row r="369">
      <c r="A369" s="33" t="n"/>
      <c r="B369" s="33" t="n"/>
    </row>
    <row r="370">
      <c r="A370" s="33" t="n"/>
      <c r="B370" s="33" t="n"/>
    </row>
    <row r="371">
      <c r="A371" s="33" t="n"/>
      <c r="B371" s="33" t="n"/>
    </row>
    <row r="372">
      <c r="A372" s="33" t="n"/>
      <c r="B372" s="33" t="n"/>
    </row>
    <row r="373">
      <c r="A373" s="33" t="n"/>
      <c r="B373" s="33" t="n"/>
    </row>
    <row r="374">
      <c r="A374" s="33" t="n"/>
      <c r="B374" s="33" t="n"/>
    </row>
    <row r="375">
      <c r="A375" s="33" t="n"/>
      <c r="B375" s="33" t="n"/>
    </row>
    <row r="376">
      <c r="A376" s="33" t="n"/>
      <c r="B376" s="33" t="n"/>
    </row>
    <row r="377">
      <c r="A377" s="33" t="n"/>
      <c r="B377" s="33" t="n"/>
    </row>
    <row r="378">
      <c r="A378" s="33" t="n"/>
      <c r="B378" s="33" t="n"/>
    </row>
    <row r="379">
      <c r="A379" s="33" t="n"/>
      <c r="B379" s="33" t="n"/>
    </row>
    <row r="380">
      <c r="A380" s="33" t="n"/>
      <c r="B380" s="33" t="n"/>
    </row>
    <row r="381">
      <c r="A381" s="33" t="n"/>
      <c r="B381" s="33" t="n"/>
    </row>
    <row r="382">
      <c r="A382" s="33" t="n"/>
      <c r="B382" s="33" t="n"/>
    </row>
    <row r="383">
      <c r="A383" s="33" t="n"/>
      <c r="B383" s="33" t="n"/>
    </row>
    <row r="384">
      <c r="A384" s="33" t="n"/>
      <c r="B384" s="33" t="n"/>
    </row>
    <row r="385">
      <c r="A385" s="33" t="n"/>
      <c r="B385" s="33" t="n"/>
    </row>
    <row r="386">
      <c r="A386" s="33" t="n"/>
      <c r="B386" s="33" t="n"/>
    </row>
    <row r="387">
      <c r="A387" s="33" t="n"/>
      <c r="B387" s="33" t="n"/>
    </row>
    <row r="388">
      <c r="A388" s="33" t="n"/>
      <c r="B388" s="33" t="n"/>
    </row>
    <row r="389">
      <c r="A389" s="33" t="n"/>
      <c r="B389" s="33" t="n"/>
    </row>
    <row r="390">
      <c r="A390" s="33" t="n"/>
      <c r="B390" s="33" t="n"/>
    </row>
    <row r="391">
      <c r="A391" s="33" t="n"/>
      <c r="B391" s="33" t="n"/>
    </row>
    <row r="392">
      <c r="A392" s="33" t="n"/>
      <c r="B392" s="33" t="n"/>
    </row>
    <row r="393">
      <c r="A393" s="33" t="n"/>
      <c r="B393" s="33" t="n"/>
    </row>
    <row r="394">
      <c r="A394" s="33" t="n"/>
      <c r="B394" s="33" t="n"/>
    </row>
    <row r="395">
      <c r="A395" s="33" t="n"/>
      <c r="B395" s="33" t="n"/>
    </row>
    <row r="396">
      <c r="A396" s="33" t="n"/>
      <c r="B396" s="33" t="n"/>
    </row>
    <row r="397">
      <c r="A397" s="33" t="n"/>
      <c r="B397" s="33" t="n"/>
    </row>
    <row r="398">
      <c r="A398" s="33" t="n"/>
      <c r="B398" s="33" t="n"/>
    </row>
    <row r="399">
      <c r="A399" s="33" t="n"/>
      <c r="B399" s="33" t="n"/>
    </row>
    <row r="400">
      <c r="A400" s="33" t="n"/>
      <c r="B400" s="33" t="n"/>
    </row>
    <row r="401">
      <c r="A401" s="33" t="n"/>
      <c r="B401" s="33" t="n"/>
    </row>
    <row r="402">
      <c r="A402" s="33" t="n"/>
      <c r="B402" s="33" t="n"/>
    </row>
    <row r="403">
      <c r="A403" s="33" t="n"/>
      <c r="B403" s="33" t="n"/>
    </row>
    <row r="404">
      <c r="A404" s="33" t="n"/>
      <c r="B404" s="33" t="n"/>
    </row>
    <row r="405">
      <c r="A405" s="33" t="n"/>
      <c r="B405" s="33" t="n"/>
    </row>
    <row r="406">
      <c r="A406" s="33" t="n"/>
      <c r="B406" s="33" t="n"/>
    </row>
    <row r="407">
      <c r="A407" s="33" t="n"/>
      <c r="B407" s="33" t="n"/>
    </row>
    <row r="408">
      <c r="A408" s="33" t="n"/>
      <c r="B408" s="33" t="n"/>
    </row>
    <row r="409">
      <c r="A409" s="33" t="n"/>
      <c r="B409" s="33" t="n"/>
    </row>
    <row r="410">
      <c r="A410" s="33" t="n"/>
      <c r="B410" s="33" t="n"/>
    </row>
    <row r="411">
      <c r="A411" s="33" t="n"/>
      <c r="B411" s="33" t="n"/>
    </row>
    <row r="412">
      <c r="A412" s="33" t="n"/>
      <c r="B412" s="33" t="n"/>
    </row>
    <row r="413">
      <c r="A413" s="33" t="n"/>
      <c r="B413" s="33" t="n"/>
    </row>
    <row r="414">
      <c r="A414" s="33" t="n"/>
      <c r="B414" s="33" t="n"/>
    </row>
    <row r="415">
      <c r="A415" s="33" t="n"/>
      <c r="B415" s="33" t="n"/>
    </row>
    <row r="416">
      <c r="A416" s="33" t="n"/>
      <c r="B416" s="33" t="n"/>
    </row>
    <row r="417">
      <c r="A417" s="33" t="n"/>
      <c r="B417" s="33" t="n"/>
    </row>
    <row r="418">
      <c r="A418" s="33" t="n"/>
      <c r="B418" s="33" t="n"/>
    </row>
    <row r="419">
      <c r="A419" s="33" t="n"/>
      <c r="B419" s="33" t="n"/>
    </row>
    <row r="420">
      <c r="A420" s="33" t="n"/>
      <c r="B420" s="33" t="n"/>
    </row>
    <row r="421">
      <c r="A421" s="33" t="n"/>
      <c r="B421" s="33" t="n"/>
    </row>
    <row r="422">
      <c r="A422" s="33" t="n"/>
      <c r="B422" s="33" t="n"/>
    </row>
    <row r="423">
      <c r="A423" s="33" t="n"/>
      <c r="B423" s="33" t="n"/>
    </row>
    <row r="424">
      <c r="A424" s="33" t="n"/>
      <c r="B424" s="33" t="n"/>
    </row>
    <row r="425">
      <c r="A425" s="33" t="n"/>
      <c r="B425" s="33" t="n"/>
    </row>
    <row r="426">
      <c r="A426" s="33" t="n"/>
      <c r="B426" s="33" t="n"/>
    </row>
    <row r="427">
      <c r="A427" s="33" t="n"/>
      <c r="B427" s="33" t="n"/>
    </row>
    <row r="428">
      <c r="A428" s="33" t="n"/>
      <c r="B428" s="33" t="n"/>
    </row>
    <row r="429">
      <c r="A429" s="33" t="n"/>
      <c r="B429" s="33" t="n"/>
    </row>
    <row r="430">
      <c r="A430" s="33" t="n"/>
      <c r="B430" s="33" t="n"/>
    </row>
    <row r="431">
      <c r="A431" s="33" t="n"/>
      <c r="B431" s="33" t="n"/>
    </row>
    <row r="432">
      <c r="A432" s="33" t="n"/>
      <c r="B432" s="33" t="n"/>
    </row>
    <row r="433">
      <c r="A433" s="33" t="n"/>
      <c r="B433" s="33" t="n"/>
    </row>
    <row r="434">
      <c r="A434" s="33" t="n"/>
      <c r="B434" s="33" t="n"/>
    </row>
    <row r="435">
      <c r="A435" s="33" t="n"/>
      <c r="B435" s="33" t="n"/>
    </row>
    <row r="436">
      <c r="A436" s="33" t="n"/>
      <c r="B436" s="33" t="n"/>
    </row>
    <row r="437">
      <c r="A437" s="33" t="n"/>
      <c r="B437" s="33" t="n"/>
    </row>
    <row r="438">
      <c r="A438" s="33" t="n"/>
      <c r="B438" s="33" t="n"/>
    </row>
    <row r="439">
      <c r="A439" s="33" t="n"/>
      <c r="B439" s="33" t="n"/>
    </row>
    <row r="440">
      <c r="A440" s="33" t="n"/>
      <c r="B440" s="33" t="n"/>
    </row>
    <row r="441">
      <c r="A441" s="33" t="n"/>
      <c r="B441" s="33" t="n"/>
    </row>
    <row r="442">
      <c r="A442" s="33" t="n"/>
      <c r="B442" s="33" t="n"/>
    </row>
    <row r="443">
      <c r="A443" s="33" t="n"/>
      <c r="B443" s="33" t="n"/>
    </row>
    <row r="444">
      <c r="A444" s="33" t="n"/>
      <c r="B444" s="33" t="n"/>
    </row>
    <row r="445">
      <c r="A445" s="33" t="n"/>
      <c r="B445" s="33" t="n"/>
    </row>
    <row r="446">
      <c r="A446" s="33" t="n"/>
      <c r="B446" s="33" t="n"/>
    </row>
    <row r="447">
      <c r="A447" s="33" t="n"/>
      <c r="B447" s="33" t="n"/>
    </row>
    <row r="448">
      <c r="A448" s="33" t="n"/>
      <c r="B448" s="33" t="n"/>
    </row>
    <row r="449">
      <c r="A449" s="33" t="n"/>
      <c r="B449" s="33" t="n"/>
    </row>
    <row r="450">
      <c r="A450" s="33" t="n"/>
      <c r="B450" s="33" t="n"/>
    </row>
    <row r="451">
      <c r="A451" s="33" t="n"/>
      <c r="B451" s="33" t="n"/>
    </row>
    <row r="452">
      <c r="A452" s="33" t="n"/>
      <c r="B452" s="33" t="n"/>
    </row>
    <row r="453">
      <c r="A453" s="33" t="n"/>
      <c r="B453" s="33" t="n"/>
    </row>
    <row r="454">
      <c r="A454" s="33" t="n"/>
      <c r="B454" s="33" t="n"/>
    </row>
    <row r="455">
      <c r="A455" s="33" t="n"/>
      <c r="B455" s="33" t="n"/>
    </row>
    <row r="456">
      <c r="A456" s="33" t="n"/>
      <c r="B456" s="33" t="n"/>
    </row>
    <row r="457">
      <c r="A457" s="33" t="n"/>
      <c r="B457" s="33" t="n"/>
    </row>
    <row r="458">
      <c r="A458" s="33" t="n"/>
      <c r="B458" s="33" t="n"/>
    </row>
    <row r="459">
      <c r="A459" s="33" t="n"/>
      <c r="B459" s="33" t="n"/>
    </row>
    <row r="460">
      <c r="A460" s="33" t="n"/>
      <c r="B460" s="33" t="n"/>
    </row>
    <row r="461">
      <c r="A461" s="33" t="n"/>
      <c r="B461" s="33" t="n"/>
    </row>
    <row r="462">
      <c r="A462" s="33" t="n"/>
      <c r="B462" s="33" t="n"/>
    </row>
    <row r="463">
      <c r="A463" s="33" t="n"/>
      <c r="B463" s="33" t="n"/>
    </row>
    <row r="464">
      <c r="A464" s="33" t="n"/>
      <c r="B464" s="33" t="n"/>
    </row>
    <row r="465">
      <c r="A465" s="33" t="n"/>
      <c r="B465" s="33" t="n"/>
    </row>
    <row r="466">
      <c r="A466" s="33" t="n"/>
      <c r="B466" s="33" t="n"/>
    </row>
    <row r="467">
      <c r="A467" s="33" t="n"/>
      <c r="B467" s="33" t="n"/>
    </row>
    <row r="468">
      <c r="A468" s="33" t="n"/>
      <c r="B468" s="33" t="n"/>
    </row>
    <row r="469">
      <c r="A469" s="33" t="n"/>
      <c r="B469" s="33" t="n"/>
    </row>
    <row r="470">
      <c r="A470" s="33" t="n"/>
      <c r="B470" s="33" t="n"/>
    </row>
    <row r="471">
      <c r="A471" s="33" t="n"/>
      <c r="B471" s="33" t="n"/>
    </row>
    <row r="472">
      <c r="A472" s="33" t="n"/>
      <c r="B472" s="33" t="n"/>
    </row>
    <row r="473">
      <c r="A473" s="33" t="n"/>
      <c r="B473" s="33" t="n"/>
    </row>
    <row r="474">
      <c r="A474" s="33" t="n"/>
      <c r="B474" s="33" t="n"/>
    </row>
    <row r="475">
      <c r="A475" s="33" t="n"/>
      <c r="B475" s="33" t="n"/>
    </row>
    <row r="476">
      <c r="A476" s="33" t="n"/>
      <c r="B476" s="33" t="n"/>
    </row>
    <row r="477">
      <c r="A477" s="33" t="n"/>
      <c r="B477" s="33" t="n"/>
    </row>
    <row r="478">
      <c r="A478" s="33" t="n"/>
      <c r="B478" s="33" t="n"/>
    </row>
    <row r="479">
      <c r="A479" s="33" t="n"/>
      <c r="B479" s="33" t="n"/>
    </row>
    <row r="480">
      <c r="A480" s="33" t="n"/>
      <c r="B480" s="33" t="n"/>
    </row>
    <row r="481">
      <c r="A481" s="33" t="n"/>
      <c r="B481" s="33" t="n"/>
    </row>
    <row r="482">
      <c r="A482" s="33" t="n"/>
      <c r="B482" s="33" t="n"/>
    </row>
    <row r="483">
      <c r="A483" s="33" t="n"/>
      <c r="B483" s="33" t="n"/>
    </row>
    <row r="484">
      <c r="A484" s="33" t="n"/>
      <c r="B484" s="33" t="n"/>
    </row>
    <row r="485">
      <c r="A485" s="33" t="n"/>
      <c r="B485" s="33" t="n"/>
    </row>
    <row r="486">
      <c r="A486" s="33" t="n"/>
      <c r="B486" s="33" t="n"/>
    </row>
    <row r="487">
      <c r="A487" s="33" t="n"/>
      <c r="B487" s="33" t="n"/>
    </row>
    <row r="488">
      <c r="A488" s="33" t="n"/>
      <c r="B488" s="33" t="n"/>
    </row>
    <row r="489">
      <c r="A489" s="33" t="n"/>
      <c r="B489" s="33" t="n"/>
    </row>
    <row r="490">
      <c r="A490" s="33" t="n"/>
      <c r="B490" s="33" t="n"/>
    </row>
    <row r="491">
      <c r="A491" s="33" t="n"/>
      <c r="B491" s="33" t="n"/>
    </row>
    <row r="492">
      <c r="A492" s="33" t="n"/>
      <c r="B492" s="33" t="n"/>
    </row>
    <row r="493">
      <c r="A493" s="33" t="n"/>
      <c r="B493" s="33" t="n"/>
    </row>
    <row r="494">
      <c r="A494" s="33" t="n"/>
      <c r="B494" s="33" t="n"/>
    </row>
    <row r="495">
      <c r="A495" s="33" t="n"/>
      <c r="B495" s="33" t="n"/>
    </row>
    <row r="496">
      <c r="A496" s="33" t="n"/>
      <c r="B496" s="33" t="n"/>
    </row>
    <row r="497">
      <c r="A497" s="33" t="n"/>
      <c r="B497" s="33" t="n"/>
    </row>
    <row r="498">
      <c r="A498" s="33" t="n"/>
      <c r="B498" s="33" t="n"/>
    </row>
    <row r="499">
      <c r="A499" s="33" t="n"/>
      <c r="B499" s="33" t="n"/>
    </row>
    <row r="500">
      <c r="A500" s="33" t="n"/>
      <c r="B500" s="33" t="n"/>
    </row>
    <row r="501">
      <c r="A501" s="33" t="n"/>
      <c r="B501" s="33" t="n"/>
    </row>
    <row r="502">
      <c r="A502" s="33" t="n"/>
      <c r="B502" s="33" t="n"/>
    </row>
    <row r="503">
      <c r="A503" s="33" t="n"/>
      <c r="B503" s="33" t="n"/>
    </row>
    <row r="504">
      <c r="A504" s="33" t="n"/>
      <c r="B504" s="33" t="n"/>
    </row>
    <row r="505">
      <c r="A505" s="33" t="n"/>
      <c r="B505" s="33" t="n"/>
    </row>
    <row r="506">
      <c r="A506" s="33" t="n"/>
      <c r="B506" s="33" t="n"/>
    </row>
  </sheetData>
  <hyperlinks>
    <hyperlink ref="J1" location="'Inicio'!A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2185B"/>
    <outlinePr summaryBelow="1" summaryRight="1"/>
    <pageSetUpPr/>
  </sheetPr>
  <dimension ref="A1:J15"/>
  <sheetViews>
    <sheetView tabSelected="0" zoomScale="115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4" customWidth="1" min="3" max="3"/>
    <col width="40" customWidth="1" min="4" max="4"/>
    <col width="16" customWidth="1" min="5" max="5"/>
  </cols>
  <sheetData>
    <row r="1" ht="30" customHeight="1">
      <c r="A1" s="46" t="inlineStr">
        <is>
          <t>H · Regresión a partir de resúmenes</t>
        </is>
      </c>
      <c r="B1" s="16" t="n"/>
      <c r="C1" s="16" t="n"/>
      <c r="D1" s="16" t="n"/>
      <c r="E1" s="16" t="n"/>
      <c r="F1" s="16" t="n"/>
      <c r="G1" s="16" t="n"/>
      <c r="H1" s="16" t="n"/>
      <c r="J1" s="20" t="inlineStr">
        <is>
          <t>← Volver al inicio</t>
        </is>
      </c>
    </row>
    <row r="2">
      <c r="A2" s="2" t="inlineStr">
        <is>
          <t>Cuando no te dan los datos sino medias, desviaciones y covarianza (o r).</t>
        </is>
      </c>
    </row>
    <row r="3">
      <c r="A3" s="28" t="inlineStr">
        <is>
          <t>Rellena una opción de cada par (por ejemplo, Sx O Sx²). Si te dan r en vez de Sxy, deja Sxy vacío.</t>
        </is>
      </c>
    </row>
    <row r="4">
      <c r="A4" s="29" t="inlineStr">
        <is>
          <t>Amarillo: escribe o pega aquí tus datos.  Verde: resultados (no los toques).</t>
        </is>
      </c>
    </row>
    <row r="5"/>
    <row r="6">
      <c r="A6" s="32" t="inlineStr">
        <is>
          <t>x̄</t>
        </is>
      </c>
      <c r="B6" s="33" t="n">
        <v>60</v>
      </c>
      <c r="D6" s="32" t="inlineStr">
        <is>
          <t>Sx² usada</t>
        </is>
      </c>
      <c r="E6" s="38">
        <f>IFERROR(IF(B9&lt;&gt;"",B9,B8^2),"")</f>
        <v/>
      </c>
    </row>
    <row r="7">
      <c r="A7" s="32" t="inlineStr">
        <is>
          <t>ȳ</t>
        </is>
      </c>
      <c r="B7" s="33" t="n">
        <v>850</v>
      </c>
      <c r="D7" s="32" t="inlineStr">
        <is>
          <t>Sy² usada</t>
        </is>
      </c>
      <c r="E7" s="38">
        <f>IFERROR(IF(B11&lt;&gt;"",B11,B10^2),"")</f>
        <v/>
      </c>
    </row>
    <row r="8">
      <c r="A8" s="32" t="inlineStr">
        <is>
          <t>Sx (desv. típica de X)</t>
        </is>
      </c>
      <c r="B8" s="33" t="n">
        <v>40</v>
      </c>
      <c r="D8" s="32" t="inlineStr">
        <is>
          <t>Sxy usada</t>
        </is>
      </c>
      <c r="E8" s="38">
        <f>IFERROR(IF(B12&lt;&gt;"",B12,B13*SQRT(E6)*SQRT(E7)),"")</f>
        <v/>
      </c>
    </row>
    <row r="9">
      <c r="A9" s="32" t="inlineStr">
        <is>
          <t>Sx² (varianza de X)</t>
        </is>
      </c>
      <c r="B9" s="33" t="n"/>
      <c r="D9" s="32" t="inlineStr">
        <is>
          <t>Pendiente b = Sxy/Sx²</t>
        </is>
      </c>
      <c r="E9" s="38">
        <f>IFERROR(E8/E6,"")</f>
        <v/>
      </c>
    </row>
    <row r="10">
      <c r="A10" s="32" t="inlineStr">
        <is>
          <t>Sy (desv. típica de Y)</t>
        </is>
      </c>
      <c r="B10" s="33" t="n">
        <v>500</v>
      </c>
      <c r="D10" s="32" t="inlineStr">
        <is>
          <t>a = ȳ − b·x̄</t>
        </is>
      </c>
      <c r="E10" s="38">
        <f>IFERROR(B7-E9*B6,"")</f>
        <v/>
      </c>
    </row>
    <row r="11">
      <c r="A11" s="32" t="inlineStr">
        <is>
          <t>Sy² (varianza de Y)</t>
        </is>
      </c>
      <c r="B11" s="33" t="n"/>
      <c r="D11" s="32" t="inlineStr">
        <is>
          <t>r = Sxy/(Sx·Sy)</t>
        </is>
      </c>
      <c r="E11" s="38">
        <f>IFERROR(E8/SQRT(E6*E7),"")</f>
        <v/>
      </c>
    </row>
    <row r="12">
      <c r="A12" s="32" t="inlineStr">
        <is>
          <t>Sxy (covarianza)</t>
        </is>
      </c>
      <c r="B12" s="33" t="n">
        <v>19200</v>
      </c>
      <c r="D12" s="32" t="inlineStr">
        <is>
          <t>R²</t>
        </is>
      </c>
      <c r="E12" s="38">
        <f>IFERROR(E11^2,"")</f>
        <v/>
      </c>
    </row>
    <row r="13">
      <c r="A13" s="32" t="inlineStr">
        <is>
          <t>r (correlación)</t>
        </is>
      </c>
      <c r="B13" s="33" t="n"/>
      <c r="D13" s="32" t="inlineStr">
        <is>
          <t>Predicción Ŷ</t>
        </is>
      </c>
      <c r="E13" s="38">
        <f>IFERROR(E10+E9*B14,"")</f>
        <v/>
      </c>
    </row>
    <row r="14">
      <c r="A14" s="32" t="inlineStr">
        <is>
          <t>X para predecir</t>
        </is>
      </c>
      <c r="B14" s="33" t="n">
        <v>100</v>
      </c>
      <c r="D14" s="32" t="inlineStr">
        <is>
          <t>b' (X sobre Y) = Sxy/Sy²</t>
        </is>
      </c>
      <c r="E14" s="38">
        <f>IFERROR(E8/E7,"")</f>
        <v/>
      </c>
    </row>
    <row r="15">
      <c r="D15" s="32" t="inlineStr">
        <is>
          <t>a' = x̄ − b'·ȳ</t>
        </is>
      </c>
      <c r="E15" s="38">
        <f>IFERROR(B6-E14*B7,"")</f>
        <v/>
      </c>
    </row>
  </sheetData>
  <hyperlinks>
    <hyperlink ref="J1" location="'Inicio'!A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A86F00"/>
    <outlinePr summaryBelow="1" summaryRight="1"/>
    <pageSetUpPr/>
  </sheetPr>
  <dimension ref="A1:J36"/>
  <sheetViews>
    <sheetView tabSelected="0" zoomScale="115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4" customWidth="1" min="4" max="4"/>
    <col width="3" customWidth="1" min="5" max="5"/>
    <col width="38" customWidth="1" min="6" max="6"/>
    <col width="16" customWidth="1" min="7" max="7"/>
  </cols>
  <sheetData>
    <row r="1" ht="30" customHeight="1">
      <c r="A1" s="47" t="inlineStr">
        <is>
          <t>I · Serie temporal: índices y tasas</t>
        </is>
      </c>
      <c r="B1" s="18" t="n"/>
      <c r="C1" s="18" t="n"/>
      <c r="D1" s="18" t="n"/>
      <c r="E1" s="18" t="n"/>
      <c r="F1" s="18" t="n"/>
      <c r="G1" s="18" t="n"/>
      <c r="H1" s="18" t="n"/>
      <c r="J1" s="20" t="inlineStr">
        <is>
          <t>← Volver al inicio</t>
        </is>
      </c>
    </row>
    <row r="2">
      <c r="A2" s="2" t="inlineStr">
        <is>
          <t>Años en A y valores en B (desde la fila 7, en orden). Elige el año base en F5.</t>
        </is>
      </c>
    </row>
    <row r="3">
      <c r="A3" s="28" t="inlineStr">
        <is>
          <t>Calcula índices con la base elegida, tasas año a año, tasa total y tasa media anual.</t>
        </is>
      </c>
    </row>
    <row r="4">
      <c r="A4" s="29" t="inlineStr">
        <is>
          <t>Amarillo: escribe o pega aquí tus datos.  Verde: resultados (no los toques).</t>
        </is>
      </c>
    </row>
    <row r="5">
      <c r="F5" s="30" t="inlineStr">
        <is>
          <t>Año base →</t>
        </is>
      </c>
      <c r="G5" s="31" t="n">
        <v>2015</v>
      </c>
    </row>
    <row r="6">
      <c r="A6" s="21" t="inlineStr">
        <is>
          <t>Año</t>
        </is>
      </c>
      <c r="B6" s="21" t="inlineStr">
        <is>
          <t>Valor</t>
        </is>
      </c>
      <c r="C6" s="21" t="inlineStr">
        <is>
          <t>Índice (base)</t>
        </is>
      </c>
      <c r="D6" s="21" t="inlineStr">
        <is>
          <t>Tasa vs anterior</t>
        </is>
      </c>
    </row>
    <row r="7">
      <c r="A7" s="33" t="n"/>
      <c r="B7" s="33" t="n"/>
      <c r="C7" s="36">
        <f>IF(B7="","",B7/INDEX($B$7:$B$36,MATCH($G$5,$A$7:$A$36,0))*100)</f>
        <v/>
      </c>
      <c r="D7" s="48" t="inlineStr"/>
      <c r="F7" s="32" t="inlineStr">
        <is>
          <t>Primer año</t>
        </is>
      </c>
      <c r="G7" s="37">
        <f>IFERROR(A7,"")</f>
        <v/>
      </c>
    </row>
    <row r="8">
      <c r="A8" s="33" t="n"/>
      <c r="B8" s="33" t="n"/>
      <c r="C8" s="36">
        <f>IF(B8="","",B8/INDEX($B$7:$B$36,MATCH($G$5,$A$7:$A$36,0))*100)</f>
        <v/>
      </c>
      <c r="D8" s="48">
        <f>IF(B8="","",B8/B7-1)</f>
        <v/>
      </c>
      <c r="F8" s="32" t="inlineStr">
        <is>
          <t>Último año</t>
        </is>
      </c>
      <c r="G8" s="37">
        <f>IFERROR(INDEX(A7:A36,COUNT(B7:B36)),"")</f>
        <v/>
      </c>
    </row>
    <row r="9">
      <c r="A9" s="33" t="n"/>
      <c r="B9" s="33" t="n"/>
      <c r="C9" s="36">
        <f>IF(B9="","",B9/INDEX($B$7:$B$36,MATCH($G$5,$A$7:$A$36,0))*100)</f>
        <v/>
      </c>
      <c r="D9" s="48">
        <f>IF(B9="","",B9/B8-1)</f>
        <v/>
      </c>
      <c r="F9" s="32" t="inlineStr">
        <is>
          <t>Años transcurridos</t>
        </is>
      </c>
      <c r="G9" s="37">
        <f>IFERROR(G8-G7,"")</f>
        <v/>
      </c>
    </row>
    <row r="10">
      <c r="A10" s="33" t="n"/>
      <c r="B10" s="33" t="n"/>
      <c r="C10" s="36">
        <f>IF(B10="","",B10/INDEX($B$7:$B$36,MATCH($G$5,$A$7:$A$36,0))*100)</f>
        <v/>
      </c>
      <c r="D10" s="48">
        <f>IF(B10="","",B10/B9-1)</f>
        <v/>
      </c>
      <c r="F10" s="32" t="inlineStr">
        <is>
          <t>Tasa total (primero → último)</t>
        </is>
      </c>
      <c r="G10" s="42">
        <f>IFERROR(INDEX(B7:B36,COUNT(B7:B36))/B7-1,"")</f>
        <v/>
      </c>
    </row>
    <row r="11">
      <c r="A11" s="33" t="n"/>
      <c r="B11" s="33" t="n"/>
      <c r="C11" s="36">
        <f>IF(B11="","",B11/INDEX($B$7:$B$36,MATCH($G$5,$A$7:$A$36,0))*100)</f>
        <v/>
      </c>
      <c r="D11" s="48">
        <f>IF(B11="","",B11/B10-1)</f>
        <v/>
      </c>
      <c r="F11" s="32" t="inlineStr">
        <is>
          <t>Tasa media anual</t>
        </is>
      </c>
      <c r="G11" s="81">
        <f>IFERROR((1+G10)^(1/G9)-1,"")</f>
        <v/>
      </c>
    </row>
    <row r="12">
      <c r="A12" s="33" t="n"/>
      <c r="B12" s="33" t="n"/>
      <c r="C12" s="36">
        <f>IF(B12="","",B12/INDEX($B$7:$B$36,MATCH($G$5,$A$7:$A$36,0))*100)</f>
        <v/>
      </c>
      <c r="D12" s="48">
        <f>IF(B12="","",B12/B11-1)</f>
        <v/>
      </c>
    </row>
    <row r="13">
      <c r="A13" s="33" t="n"/>
      <c r="B13" s="33" t="n"/>
      <c r="C13" s="36">
        <f>IF(B13="","",B13/INDEX($B$7:$B$36,MATCH($G$5,$A$7:$A$36,0))*100)</f>
        <v/>
      </c>
      <c r="D13" s="48">
        <f>IF(B13="","",B13/B12-1)</f>
        <v/>
      </c>
    </row>
    <row r="14">
      <c r="A14" s="33" t="n"/>
      <c r="B14" s="33" t="n"/>
      <c r="C14" s="36">
        <f>IF(B14="","",B14/INDEX($B$7:$B$36,MATCH($G$5,$A$7:$A$36,0))*100)</f>
        <v/>
      </c>
      <c r="D14" s="48">
        <f>IF(B14="","",B14/B13-1)</f>
        <v/>
      </c>
    </row>
    <row r="15">
      <c r="A15" s="33" t="n"/>
      <c r="B15" s="33" t="n"/>
      <c r="C15" s="36">
        <f>IF(B15="","",B15/INDEX($B$7:$B$36,MATCH($G$5,$A$7:$A$36,0))*100)</f>
        <v/>
      </c>
      <c r="D15" s="48">
        <f>IF(B15="","",B15/B14-1)</f>
        <v/>
      </c>
    </row>
    <row r="16">
      <c r="A16" s="33" t="n"/>
      <c r="B16" s="33" t="n"/>
      <c r="C16" s="36">
        <f>IF(B16="","",B16/INDEX($B$7:$B$36,MATCH($G$5,$A$7:$A$36,0))*100)</f>
        <v/>
      </c>
      <c r="D16" s="48">
        <f>IF(B16="","",B16/B15-1)</f>
        <v/>
      </c>
    </row>
    <row r="17">
      <c r="A17" s="33" t="n"/>
      <c r="B17" s="33" t="n"/>
      <c r="C17" s="36">
        <f>IF(B17="","",B17/INDEX($B$7:$B$36,MATCH($G$5,$A$7:$A$36,0))*100)</f>
        <v/>
      </c>
      <c r="D17" s="48">
        <f>IF(B17="","",B17/B16-1)</f>
        <v/>
      </c>
    </row>
    <row r="18">
      <c r="A18" s="33" t="n"/>
      <c r="B18" s="33" t="n"/>
      <c r="C18" s="36">
        <f>IF(B18="","",B18/INDEX($B$7:$B$36,MATCH($G$5,$A$7:$A$36,0))*100)</f>
        <v/>
      </c>
      <c r="D18" s="48">
        <f>IF(B18="","",B18/B17-1)</f>
        <v/>
      </c>
    </row>
    <row r="19">
      <c r="A19" s="33" t="n"/>
      <c r="B19" s="33" t="n"/>
      <c r="C19" s="36">
        <f>IF(B19="","",B19/INDEX($B$7:$B$36,MATCH($G$5,$A$7:$A$36,0))*100)</f>
        <v/>
      </c>
      <c r="D19" s="48">
        <f>IF(B19="","",B19/B18-1)</f>
        <v/>
      </c>
    </row>
    <row r="20">
      <c r="A20" s="33" t="n"/>
      <c r="B20" s="33" t="n"/>
      <c r="C20" s="36">
        <f>IF(B20="","",B20/INDEX($B$7:$B$36,MATCH($G$5,$A$7:$A$36,0))*100)</f>
        <v/>
      </c>
      <c r="D20" s="48">
        <f>IF(B20="","",B20/B19-1)</f>
        <v/>
      </c>
    </row>
    <row r="21">
      <c r="A21" s="33" t="n"/>
      <c r="B21" s="33" t="n"/>
      <c r="C21" s="36">
        <f>IF(B21="","",B21/INDEX($B$7:$B$36,MATCH($G$5,$A$7:$A$36,0))*100)</f>
        <v/>
      </c>
      <c r="D21" s="48">
        <f>IF(B21="","",B21/B20-1)</f>
        <v/>
      </c>
    </row>
    <row r="22">
      <c r="A22" s="33" t="n"/>
      <c r="B22" s="33" t="n"/>
      <c r="C22" s="36">
        <f>IF(B22="","",B22/INDEX($B$7:$B$36,MATCH($G$5,$A$7:$A$36,0))*100)</f>
        <v/>
      </c>
      <c r="D22" s="48">
        <f>IF(B22="","",B22/B21-1)</f>
        <v/>
      </c>
    </row>
    <row r="23">
      <c r="A23" s="33" t="n"/>
      <c r="B23" s="33" t="n"/>
      <c r="C23" s="36">
        <f>IF(B23="","",B23/INDEX($B$7:$B$36,MATCH($G$5,$A$7:$A$36,0))*100)</f>
        <v/>
      </c>
      <c r="D23" s="48">
        <f>IF(B23="","",B23/B22-1)</f>
        <v/>
      </c>
    </row>
    <row r="24">
      <c r="A24" s="33" t="n"/>
      <c r="B24" s="33" t="n"/>
      <c r="C24" s="36">
        <f>IF(B24="","",B24/INDEX($B$7:$B$36,MATCH($G$5,$A$7:$A$36,0))*100)</f>
        <v/>
      </c>
      <c r="D24" s="48">
        <f>IF(B24="","",B24/B23-1)</f>
        <v/>
      </c>
    </row>
    <row r="25">
      <c r="A25" s="33" t="n"/>
      <c r="B25" s="33" t="n"/>
      <c r="C25" s="36">
        <f>IF(B25="","",B25/INDEX($B$7:$B$36,MATCH($G$5,$A$7:$A$36,0))*100)</f>
        <v/>
      </c>
      <c r="D25" s="48">
        <f>IF(B25="","",B25/B24-1)</f>
        <v/>
      </c>
    </row>
    <row r="26">
      <c r="A26" s="33" t="n"/>
      <c r="B26" s="33" t="n"/>
      <c r="C26" s="36">
        <f>IF(B26="","",B26/INDEX($B$7:$B$36,MATCH($G$5,$A$7:$A$36,0))*100)</f>
        <v/>
      </c>
      <c r="D26" s="48">
        <f>IF(B26="","",B26/B25-1)</f>
        <v/>
      </c>
    </row>
    <row r="27">
      <c r="A27" s="33" t="n"/>
      <c r="B27" s="33" t="n"/>
      <c r="C27" s="36">
        <f>IF(B27="","",B27/INDEX($B$7:$B$36,MATCH($G$5,$A$7:$A$36,0))*100)</f>
        <v/>
      </c>
      <c r="D27" s="48">
        <f>IF(B27="","",B27/B26-1)</f>
        <v/>
      </c>
    </row>
    <row r="28">
      <c r="A28" s="33" t="n"/>
      <c r="B28" s="33" t="n"/>
      <c r="C28" s="36">
        <f>IF(B28="","",B28/INDEX($B$7:$B$36,MATCH($G$5,$A$7:$A$36,0))*100)</f>
        <v/>
      </c>
      <c r="D28" s="48">
        <f>IF(B28="","",B28/B27-1)</f>
        <v/>
      </c>
    </row>
    <row r="29">
      <c r="A29" s="33" t="n"/>
      <c r="B29" s="33" t="n"/>
      <c r="C29" s="36">
        <f>IF(B29="","",B29/INDEX($B$7:$B$36,MATCH($G$5,$A$7:$A$36,0))*100)</f>
        <v/>
      </c>
      <c r="D29" s="48">
        <f>IF(B29="","",B29/B28-1)</f>
        <v/>
      </c>
    </row>
    <row r="30">
      <c r="A30" s="33" t="n"/>
      <c r="B30" s="33" t="n"/>
      <c r="C30" s="36">
        <f>IF(B30="","",B30/INDEX($B$7:$B$36,MATCH($G$5,$A$7:$A$36,0))*100)</f>
        <v/>
      </c>
      <c r="D30" s="48">
        <f>IF(B30="","",B30/B29-1)</f>
        <v/>
      </c>
    </row>
    <row r="31">
      <c r="A31" s="33" t="n"/>
      <c r="B31" s="33" t="n"/>
      <c r="C31" s="36">
        <f>IF(B31="","",B31/INDEX($B$7:$B$36,MATCH($G$5,$A$7:$A$36,0))*100)</f>
        <v/>
      </c>
      <c r="D31" s="48">
        <f>IF(B31="","",B31/B30-1)</f>
        <v/>
      </c>
    </row>
    <row r="32">
      <c r="A32" s="33" t="n"/>
      <c r="B32" s="33" t="n"/>
      <c r="C32" s="36">
        <f>IF(B32="","",B32/INDEX($B$7:$B$36,MATCH($G$5,$A$7:$A$36,0))*100)</f>
        <v/>
      </c>
      <c r="D32" s="48">
        <f>IF(B32="","",B32/B31-1)</f>
        <v/>
      </c>
    </row>
    <row r="33">
      <c r="A33" s="33" t="n"/>
      <c r="B33" s="33" t="n"/>
      <c r="C33" s="36">
        <f>IF(B33="","",B33/INDEX($B$7:$B$36,MATCH($G$5,$A$7:$A$36,0))*100)</f>
        <v/>
      </c>
      <c r="D33" s="48">
        <f>IF(B33="","",B33/B32-1)</f>
        <v/>
      </c>
    </row>
    <row r="34">
      <c r="A34" s="33" t="n"/>
      <c r="B34" s="33" t="n"/>
      <c r="C34" s="36">
        <f>IF(B34="","",B34/INDEX($B$7:$B$36,MATCH($G$5,$A$7:$A$36,0))*100)</f>
        <v/>
      </c>
      <c r="D34" s="48">
        <f>IF(B34="","",B34/B33-1)</f>
        <v/>
      </c>
    </row>
    <row r="35">
      <c r="A35" s="33" t="n"/>
      <c r="B35" s="33" t="n"/>
      <c r="C35" s="36">
        <f>IF(B35="","",B35/INDEX($B$7:$B$36,MATCH($G$5,$A$7:$A$36,0))*100)</f>
        <v/>
      </c>
      <c r="D35" s="48">
        <f>IF(B35="","",B35/B34-1)</f>
        <v/>
      </c>
    </row>
    <row r="36">
      <c r="A36" s="33" t="n"/>
      <c r="B36" s="33" t="n"/>
      <c r="C36" s="36">
        <f>IF(B36="","",B36/INDEX($B$7:$B$36,MATCH($G$5,$A$7:$A$36,0))*100)</f>
        <v/>
      </c>
      <c r="D36" s="48">
        <f>IF(B36="","",B36/B35-1)</f>
        <v/>
      </c>
    </row>
  </sheetData>
  <hyperlinks>
    <hyperlink ref="J1" location="'Inicio'!A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A86F00"/>
    <outlinePr summaryBelow="1" summaryRight="1"/>
    <pageSetUpPr/>
  </sheetPr>
  <dimension ref="A1:J31"/>
  <sheetViews>
    <sheetView tabSelected="0" zoomScale="115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3" customWidth="1" min="4" max="4"/>
    <col width="38" customWidth="1" min="5" max="5"/>
    <col width="16" customWidth="1" min="6" max="6"/>
  </cols>
  <sheetData>
    <row r="1" ht="30" customHeight="1">
      <c r="A1" s="47" t="inlineStr">
        <is>
          <t>J · Tasas encadenadas y equivalentes</t>
        </is>
      </c>
      <c r="B1" s="18" t="n"/>
      <c r="C1" s="18" t="n"/>
      <c r="D1" s="18" t="n"/>
      <c r="E1" s="18" t="n"/>
      <c r="F1" s="18" t="n"/>
      <c r="G1" s="18" t="n"/>
      <c r="H1" s="18" t="n"/>
      <c r="J1" s="20" t="inlineStr">
        <is>
          <t>← Volver al inicio</t>
        </is>
      </c>
    </row>
    <row r="2">
      <c r="A2" s="2" t="inlineStr">
        <is>
          <t>Escribe las tasas de cada periodo en B (como 5 % o 0,05; negativas para bajadas).</t>
        </is>
      </c>
    </row>
    <row r="3">
      <c r="A3" s="28" t="inlineStr">
        <is>
          <t>Calcula los índices encadenados, la tasa acumulada y la tasa media. Abajo: de anual a mensual y al revés.</t>
        </is>
      </c>
    </row>
    <row r="4">
      <c r="A4" s="29" t="inlineStr">
        <is>
          <t>Amarillo: escribe o pega aquí tus datos.  Verde: resultados (no los toques).</t>
        </is>
      </c>
    </row>
    <row r="5"/>
    <row r="6">
      <c r="A6" s="21" t="inlineStr">
        <is>
          <t>Periodo</t>
        </is>
      </c>
      <c r="B6" s="21" t="inlineStr">
        <is>
          <t>Tasa</t>
        </is>
      </c>
      <c r="C6" s="21" t="inlineStr">
        <is>
          <t>Índice (inicio = 100)</t>
        </is>
      </c>
    </row>
    <row r="7">
      <c r="A7" t="inlineStr">
        <is>
          <t>Inicio</t>
        </is>
      </c>
      <c r="C7" s="40" t="n">
        <v>100</v>
      </c>
      <c r="E7" s="32" t="inlineStr">
        <is>
          <t>Nº de periodos</t>
        </is>
      </c>
      <c r="F7" s="37">
        <f>IFERROR(COUNT(B8:B31),"")</f>
        <v/>
      </c>
    </row>
    <row r="8">
      <c r="A8" s="33" t="n"/>
      <c r="B8" s="50" t="n"/>
      <c r="C8" s="36">
        <f>IF(B8="","",C7*(1+B8))</f>
        <v/>
      </c>
      <c r="E8" s="32" t="inlineStr">
        <is>
          <t>Tasa acumulada</t>
        </is>
      </c>
      <c r="F8" s="42">
        <f>IFERROR(INDEX(C7:C31,F7+1)/100-1,"")</f>
        <v/>
      </c>
    </row>
    <row r="9">
      <c r="A9" s="33" t="n"/>
      <c r="B9" s="50" t="n"/>
      <c r="C9" s="36">
        <f>IF(B9="","",C8*(1+B9))</f>
        <v/>
      </c>
      <c r="E9" s="32" t="inlineStr">
        <is>
          <t>Tasa media por periodo (geométrica)</t>
        </is>
      </c>
      <c r="F9" s="81">
        <f>IFERROR((1+F8)^(1/F7)-1,"")</f>
        <v/>
      </c>
    </row>
    <row r="10">
      <c r="A10" s="33" t="n"/>
      <c r="B10" s="50" t="n"/>
      <c r="C10" s="36">
        <f>IF(B10="","",C9*(1+B10))</f>
        <v/>
      </c>
    </row>
    <row r="11">
      <c r="A11" s="33" t="n"/>
      <c r="B11" s="50" t="n"/>
      <c r="C11" s="36">
        <f>IF(B11="","",C10*(1+B11))</f>
        <v/>
      </c>
    </row>
    <row r="12">
      <c r="A12" s="33" t="n"/>
      <c r="B12" s="50" t="n"/>
      <c r="C12" s="36">
        <f>IF(B12="","",C11*(1+B12))</f>
        <v/>
      </c>
      <c r="E12" s="30" t="inlineStr">
        <is>
          <t>Tasa anual →</t>
        </is>
      </c>
      <c r="F12" s="51" t="n">
        <v>0.06</v>
      </c>
    </row>
    <row r="13">
      <c r="A13" s="33" t="n"/>
      <c r="B13" s="50" t="n"/>
      <c r="C13" s="36">
        <f>IF(B13="","",C12*(1+B13))</f>
        <v/>
      </c>
      <c r="E13" s="32" t="inlineStr">
        <is>
          <t>Tasa mensual equivalente</t>
        </is>
      </c>
      <c r="F13" s="82">
        <f>IFERROR((1+F12)^(1/12)-1,"")</f>
        <v/>
      </c>
    </row>
    <row r="14">
      <c r="A14" s="33" t="n"/>
      <c r="B14" s="50" t="n"/>
      <c r="C14" s="36">
        <f>IF(B14="","",C13*(1+B14))</f>
        <v/>
      </c>
    </row>
    <row r="15">
      <c r="A15" s="33" t="n"/>
      <c r="B15" s="50" t="n"/>
      <c r="C15" s="36">
        <f>IF(B15="","",C14*(1+B15))</f>
        <v/>
      </c>
      <c r="E15" s="30" t="inlineStr">
        <is>
          <t>Tasa mensual →</t>
        </is>
      </c>
      <c r="F15" s="51" t="n">
        <v>0.005</v>
      </c>
    </row>
    <row r="16">
      <c r="A16" s="33" t="n"/>
      <c r="B16" s="50" t="n"/>
      <c r="C16" s="36">
        <f>IF(B16="","",C15*(1+B16))</f>
        <v/>
      </c>
      <c r="E16" s="32" t="inlineStr">
        <is>
          <t>Tasa anual equivalente</t>
        </is>
      </c>
      <c r="F16" s="42">
        <f>IFERROR((1+F15)^12-1,"")</f>
        <v/>
      </c>
    </row>
    <row r="17">
      <c r="A17" s="33" t="n"/>
      <c r="B17" s="50" t="n"/>
      <c r="C17" s="36">
        <f>IF(B17="","",C16*(1+B17))</f>
        <v/>
      </c>
    </row>
    <row r="18">
      <c r="A18" s="33" t="n"/>
      <c r="B18" s="50" t="n"/>
      <c r="C18" s="36">
        <f>IF(B18="","",C17*(1+B18))</f>
        <v/>
      </c>
    </row>
    <row r="19">
      <c r="A19" s="33" t="n"/>
      <c r="B19" s="50" t="n"/>
      <c r="C19" s="36">
        <f>IF(B19="","",C18*(1+B19))</f>
        <v/>
      </c>
    </row>
    <row r="20">
      <c r="A20" s="33" t="n"/>
      <c r="B20" s="50" t="n"/>
      <c r="C20" s="36">
        <f>IF(B20="","",C19*(1+B20))</f>
        <v/>
      </c>
    </row>
    <row r="21">
      <c r="A21" s="33" t="n"/>
      <c r="B21" s="50" t="n"/>
      <c r="C21" s="36">
        <f>IF(B21="","",C20*(1+B21))</f>
        <v/>
      </c>
    </row>
    <row r="22">
      <c r="A22" s="33" t="n"/>
      <c r="B22" s="50" t="n"/>
      <c r="C22" s="36">
        <f>IF(B22="","",C21*(1+B22))</f>
        <v/>
      </c>
    </row>
    <row r="23">
      <c r="A23" s="33" t="n"/>
      <c r="B23" s="50" t="n"/>
      <c r="C23" s="36">
        <f>IF(B23="","",C22*(1+B23))</f>
        <v/>
      </c>
    </row>
    <row r="24">
      <c r="A24" s="33" t="n"/>
      <c r="B24" s="50" t="n"/>
      <c r="C24" s="36">
        <f>IF(B24="","",C23*(1+B24))</f>
        <v/>
      </c>
    </row>
    <row r="25">
      <c r="A25" s="33" t="n"/>
      <c r="B25" s="50" t="n"/>
      <c r="C25" s="36">
        <f>IF(B25="","",C24*(1+B25))</f>
        <v/>
      </c>
    </row>
    <row r="26">
      <c r="A26" s="33" t="n"/>
      <c r="B26" s="50" t="n"/>
      <c r="C26" s="36">
        <f>IF(B26="","",C25*(1+B26))</f>
        <v/>
      </c>
    </row>
    <row r="27">
      <c r="A27" s="33" t="n"/>
      <c r="B27" s="50" t="n"/>
      <c r="C27" s="36">
        <f>IF(B27="","",C26*(1+B27))</f>
        <v/>
      </c>
    </row>
    <row r="28">
      <c r="A28" s="33" t="n"/>
      <c r="B28" s="50" t="n"/>
      <c r="C28" s="36">
        <f>IF(B28="","",C27*(1+B28))</f>
        <v/>
      </c>
    </row>
    <row r="29">
      <c r="A29" s="33" t="n"/>
      <c r="B29" s="50" t="n"/>
      <c r="C29" s="36">
        <f>IF(B29="","",C28*(1+B29))</f>
        <v/>
      </c>
    </row>
    <row r="30">
      <c r="A30" s="33" t="n"/>
      <c r="B30" s="50" t="n"/>
      <c r="C30" s="36">
        <f>IF(B30="","",C29*(1+B30))</f>
        <v/>
      </c>
    </row>
    <row r="31">
      <c r="A31" s="33" t="n"/>
      <c r="B31" s="50" t="n"/>
      <c r="C31" s="36">
        <f>IF(B31="","",C30*(1+B31))</f>
        <v/>
      </c>
    </row>
  </sheetData>
  <hyperlinks>
    <hyperlink ref="J1" location="'Inicio'!A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A86F00"/>
    <outlinePr summaryBelow="1" summaryRight="1"/>
    <pageSetUpPr/>
  </sheetPr>
  <dimension ref="A1:N26"/>
  <sheetViews>
    <sheetView tabSelected="0" zoomScale="115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3" customWidth="1" min="12" max="12"/>
    <col width="36" customWidth="1" min="13" max="13"/>
    <col width="14" customWidth="1" min="14" max="14"/>
  </cols>
  <sheetData>
    <row r="1" ht="30" customHeight="1">
      <c r="A1" s="47" t="inlineStr">
        <is>
          <t>K · Laspeyres, Paasche y Fisher</t>
        </is>
      </c>
      <c r="B1" s="18" t="n"/>
      <c r="C1" s="18" t="n"/>
      <c r="D1" s="18" t="n"/>
      <c r="E1" s="18" t="n"/>
      <c r="F1" s="18" t="n"/>
      <c r="G1" s="18" t="n"/>
      <c r="H1" s="18" t="n"/>
      <c r="J1" s="20" t="inlineStr">
        <is>
          <t>← Volver al inicio</t>
        </is>
      </c>
    </row>
    <row r="2">
      <c r="A2" s="2" t="inlineStr">
        <is>
          <t>Por producto: precio y cantidad en el año base (0) y en el año actual (t).</t>
        </is>
      </c>
    </row>
    <row r="3">
      <c r="A3" s="28" t="inlineStr">
        <is>
          <t>Índices de precios y de cantidades.</t>
        </is>
      </c>
    </row>
    <row r="4">
      <c r="A4" s="29" t="inlineStr">
        <is>
          <t>Amarillo: escribe o pega aquí tus datos.  Verde: resultados (no los toques).</t>
        </is>
      </c>
    </row>
    <row r="5"/>
    <row r="6">
      <c r="A6" s="21" t="inlineStr">
        <is>
          <t>Producto</t>
        </is>
      </c>
      <c r="B6" s="21" t="inlineStr">
        <is>
          <t>p₀</t>
        </is>
      </c>
      <c r="C6" s="21" t="inlineStr">
        <is>
          <t>q₀</t>
        </is>
      </c>
      <c r="D6" s="21" t="inlineStr">
        <is>
          <t>pₜ</t>
        </is>
      </c>
      <c r="E6" s="21" t="inlineStr">
        <is>
          <t>qₜ</t>
        </is>
      </c>
      <c r="F6" s="21" t="inlineStr">
        <is>
          <t>pₜ·q₀</t>
        </is>
      </c>
      <c r="G6" s="21" t="inlineStr">
        <is>
          <t>p₀·q₀</t>
        </is>
      </c>
      <c r="H6" s="21" t="inlineStr">
        <is>
          <t>pₜ·qₜ</t>
        </is>
      </c>
      <c r="I6" s="21" t="inlineStr">
        <is>
          <t>p₀·qₜ</t>
        </is>
      </c>
      <c r="J6" s="21" t="inlineStr">
        <is>
          <t xml:space="preserve">qₜ·p₀ </t>
        </is>
      </c>
      <c r="K6" s="21" t="inlineStr">
        <is>
          <t>q₀·pₜ</t>
        </is>
      </c>
    </row>
    <row r="7">
      <c r="A7" s="33" t="n"/>
      <c r="B7" s="33" t="n"/>
      <c r="C7" s="33" t="n"/>
      <c r="D7" s="33" t="n"/>
      <c r="E7" s="33" t="n"/>
      <c r="F7" s="40">
        <f>IF(B7="","",D7*C7)</f>
        <v/>
      </c>
      <c r="G7" s="40">
        <f>IF(B7="","",B7*C7)</f>
        <v/>
      </c>
      <c r="H7" s="40">
        <f>IF(B7="","",D7*E7)</f>
        <v/>
      </c>
      <c r="I7" s="40">
        <f>IF(B7="","",B7*E7)</f>
        <v/>
      </c>
      <c r="J7" s="40">
        <f>IF(B7="","",E7*B7)</f>
        <v/>
      </c>
      <c r="K7" s="40">
        <f>IF(B7="","",C7*D7)</f>
        <v/>
      </c>
      <c r="M7" s="32" t="inlineStr">
        <is>
          <t>Laspeyres de precios</t>
        </is>
      </c>
      <c r="N7" s="53">
        <f>IFERROR(SUM(F7:F26)/SUM(G7:G26)*100,"")</f>
        <v/>
      </c>
    </row>
    <row r="8">
      <c r="A8" s="33" t="n"/>
      <c r="B8" s="33" t="n"/>
      <c r="C8" s="33" t="n"/>
      <c r="D8" s="33" t="n"/>
      <c r="E8" s="33" t="n"/>
      <c r="F8" s="40">
        <f>IF(B8="","",D8*C8)</f>
        <v/>
      </c>
      <c r="G8" s="40">
        <f>IF(B8="","",B8*C8)</f>
        <v/>
      </c>
      <c r="H8" s="40">
        <f>IF(B8="","",D8*E8)</f>
        <v/>
      </c>
      <c r="I8" s="40">
        <f>IF(B8="","",B8*E8)</f>
        <v/>
      </c>
      <c r="J8" s="40">
        <f>IF(B8="","",E8*B8)</f>
        <v/>
      </c>
      <c r="K8" s="40">
        <f>IF(B8="","",C8*D8)</f>
        <v/>
      </c>
      <c r="M8" s="32" t="inlineStr">
        <is>
          <t>Paasche de precios</t>
        </is>
      </c>
      <c r="N8" s="53">
        <f>IFERROR(SUM(H7:H26)/SUM(I7:I26)*100,"")</f>
        <v/>
      </c>
    </row>
    <row r="9">
      <c r="A9" s="33" t="n"/>
      <c r="B9" s="33" t="n"/>
      <c r="C9" s="33" t="n"/>
      <c r="D9" s="33" t="n"/>
      <c r="E9" s="33" t="n"/>
      <c r="F9" s="40">
        <f>IF(B9="","",D9*C9)</f>
        <v/>
      </c>
      <c r="G9" s="40">
        <f>IF(B9="","",B9*C9)</f>
        <v/>
      </c>
      <c r="H9" s="40">
        <f>IF(B9="","",D9*E9)</f>
        <v/>
      </c>
      <c r="I9" s="40">
        <f>IF(B9="","",B9*E9)</f>
        <v/>
      </c>
      <c r="J9" s="40">
        <f>IF(B9="","",E9*B9)</f>
        <v/>
      </c>
      <c r="K9" s="40">
        <f>IF(B9="","",C9*D9)</f>
        <v/>
      </c>
      <c r="M9" s="32" t="inlineStr">
        <is>
          <t>Fisher de precios</t>
        </is>
      </c>
      <c r="N9" s="53">
        <f>IFERROR(SQRT(N7*N8),"")</f>
        <v/>
      </c>
    </row>
    <row r="10">
      <c r="A10" s="33" t="n"/>
      <c r="B10" s="33" t="n"/>
      <c r="C10" s="33" t="n"/>
      <c r="D10" s="33" t="n"/>
      <c r="E10" s="33" t="n"/>
      <c r="F10" s="40">
        <f>IF(B10="","",D10*C10)</f>
        <v/>
      </c>
      <c r="G10" s="40">
        <f>IF(B10="","",B10*C10)</f>
        <v/>
      </c>
      <c r="H10" s="40">
        <f>IF(B10="","",D10*E10)</f>
        <v/>
      </c>
      <c r="I10" s="40">
        <f>IF(B10="","",B10*E10)</f>
        <v/>
      </c>
      <c r="J10" s="40">
        <f>IF(B10="","",E10*B10)</f>
        <v/>
      </c>
      <c r="K10" s="40">
        <f>IF(B10="","",C10*D10)</f>
        <v/>
      </c>
      <c r="M10" s="32" t="inlineStr">
        <is>
          <t>Laspeyres de cantidades</t>
        </is>
      </c>
      <c r="N10" s="53">
        <f>IFERROR(SUM(J7:J26)/SUM(G7:G26)*100,"")</f>
        <v/>
      </c>
    </row>
    <row r="11">
      <c r="A11" s="33" t="n"/>
      <c r="B11" s="33" t="n"/>
      <c r="C11" s="33" t="n"/>
      <c r="D11" s="33" t="n"/>
      <c r="E11" s="33" t="n"/>
      <c r="F11" s="40">
        <f>IF(B11="","",D11*C11)</f>
        <v/>
      </c>
      <c r="G11" s="40">
        <f>IF(B11="","",B11*C11)</f>
        <v/>
      </c>
      <c r="H11" s="40">
        <f>IF(B11="","",D11*E11)</f>
        <v/>
      </c>
      <c r="I11" s="40">
        <f>IF(B11="","",B11*E11)</f>
        <v/>
      </c>
      <c r="J11" s="40">
        <f>IF(B11="","",E11*B11)</f>
        <v/>
      </c>
      <c r="K11" s="40">
        <f>IF(B11="","",C11*D11)</f>
        <v/>
      </c>
      <c r="M11" s="32" t="inlineStr">
        <is>
          <t>Paasche de cantidades</t>
        </is>
      </c>
      <c r="N11" s="53">
        <f>IFERROR(SUM(H7:H26)/SUM(K7:K26)*100,"")</f>
        <v/>
      </c>
    </row>
    <row r="12">
      <c r="A12" s="33" t="n"/>
      <c r="B12" s="33" t="n"/>
      <c r="C12" s="33" t="n"/>
      <c r="D12" s="33" t="n"/>
      <c r="E12" s="33" t="n"/>
      <c r="F12" s="40">
        <f>IF(B12="","",D12*C12)</f>
        <v/>
      </c>
      <c r="G12" s="40">
        <f>IF(B12="","",B12*C12)</f>
        <v/>
      </c>
      <c r="H12" s="40">
        <f>IF(B12="","",D12*E12)</f>
        <v/>
      </c>
      <c r="I12" s="40">
        <f>IF(B12="","",B12*E12)</f>
        <v/>
      </c>
      <c r="J12" s="40">
        <f>IF(B12="","",E12*B12)</f>
        <v/>
      </c>
      <c r="K12" s="40">
        <f>IF(B12="","",C12*D12)</f>
        <v/>
      </c>
      <c r="M12" s="32" t="inlineStr">
        <is>
          <t>Fisher de cantidades</t>
        </is>
      </c>
      <c r="N12" s="53">
        <f>IFERROR(SQRT(N10*N11),"")</f>
        <v/>
      </c>
    </row>
    <row r="13">
      <c r="A13" s="33" t="n"/>
      <c r="B13" s="33" t="n"/>
      <c r="C13" s="33" t="n"/>
      <c r="D13" s="33" t="n"/>
      <c r="E13" s="33" t="n"/>
      <c r="F13" s="40">
        <f>IF(B13="","",D13*C13)</f>
        <v/>
      </c>
      <c r="G13" s="40">
        <f>IF(B13="","",B13*C13)</f>
        <v/>
      </c>
      <c r="H13" s="40">
        <f>IF(B13="","",D13*E13)</f>
        <v/>
      </c>
      <c r="I13" s="40">
        <f>IF(B13="","",B13*E13)</f>
        <v/>
      </c>
      <c r="J13" s="40">
        <f>IF(B13="","",E13*B13)</f>
        <v/>
      </c>
      <c r="K13" s="40">
        <f>IF(B13="","",C13*D13)</f>
        <v/>
      </c>
    </row>
    <row r="14">
      <c r="A14" s="33" t="n"/>
      <c r="B14" s="33" t="n"/>
      <c r="C14" s="33" t="n"/>
      <c r="D14" s="33" t="n"/>
      <c r="E14" s="33" t="n"/>
      <c r="F14" s="40">
        <f>IF(B14="","",D14*C14)</f>
        <v/>
      </c>
      <c r="G14" s="40">
        <f>IF(B14="","",B14*C14)</f>
        <v/>
      </c>
      <c r="H14" s="40">
        <f>IF(B14="","",D14*E14)</f>
        <v/>
      </c>
      <c r="I14" s="40">
        <f>IF(B14="","",B14*E14)</f>
        <v/>
      </c>
      <c r="J14" s="40">
        <f>IF(B14="","",E14*B14)</f>
        <v/>
      </c>
      <c r="K14" s="40">
        <f>IF(B14="","",C14*D14)</f>
        <v/>
      </c>
    </row>
    <row r="15">
      <c r="A15" s="33" t="n"/>
      <c r="B15" s="33" t="n"/>
      <c r="C15" s="33" t="n"/>
      <c r="D15" s="33" t="n"/>
      <c r="E15" s="33" t="n"/>
      <c r="F15" s="40">
        <f>IF(B15="","",D15*C15)</f>
        <v/>
      </c>
      <c r="G15" s="40">
        <f>IF(B15="","",B15*C15)</f>
        <v/>
      </c>
      <c r="H15" s="40">
        <f>IF(B15="","",D15*E15)</f>
        <v/>
      </c>
      <c r="I15" s="40">
        <f>IF(B15="","",B15*E15)</f>
        <v/>
      </c>
      <c r="J15" s="40">
        <f>IF(B15="","",E15*B15)</f>
        <v/>
      </c>
      <c r="K15" s="40">
        <f>IF(B15="","",C15*D15)</f>
        <v/>
      </c>
    </row>
    <row r="16">
      <c r="A16" s="33" t="n"/>
      <c r="B16" s="33" t="n"/>
      <c r="C16" s="33" t="n"/>
      <c r="D16" s="33" t="n"/>
      <c r="E16" s="33" t="n"/>
      <c r="F16" s="40">
        <f>IF(B16="","",D16*C16)</f>
        <v/>
      </c>
      <c r="G16" s="40">
        <f>IF(B16="","",B16*C16)</f>
        <v/>
      </c>
      <c r="H16" s="40">
        <f>IF(B16="","",D16*E16)</f>
        <v/>
      </c>
      <c r="I16" s="40">
        <f>IF(B16="","",B16*E16)</f>
        <v/>
      </c>
      <c r="J16" s="40">
        <f>IF(B16="","",E16*B16)</f>
        <v/>
      </c>
      <c r="K16" s="40">
        <f>IF(B16="","",C16*D16)</f>
        <v/>
      </c>
    </row>
    <row r="17">
      <c r="A17" s="33" t="n"/>
      <c r="B17" s="33" t="n"/>
      <c r="C17" s="33" t="n"/>
      <c r="D17" s="33" t="n"/>
      <c r="E17" s="33" t="n"/>
      <c r="F17" s="40">
        <f>IF(B17="","",D17*C17)</f>
        <v/>
      </c>
      <c r="G17" s="40">
        <f>IF(B17="","",B17*C17)</f>
        <v/>
      </c>
      <c r="H17" s="40">
        <f>IF(B17="","",D17*E17)</f>
        <v/>
      </c>
      <c r="I17" s="40">
        <f>IF(B17="","",B17*E17)</f>
        <v/>
      </c>
      <c r="J17" s="40">
        <f>IF(B17="","",E17*B17)</f>
        <v/>
      </c>
      <c r="K17" s="40">
        <f>IF(B17="","",C17*D17)</f>
        <v/>
      </c>
    </row>
    <row r="18">
      <c r="A18" s="33" t="n"/>
      <c r="B18" s="33" t="n"/>
      <c r="C18" s="33" t="n"/>
      <c r="D18" s="33" t="n"/>
      <c r="E18" s="33" t="n"/>
      <c r="F18" s="40">
        <f>IF(B18="","",D18*C18)</f>
        <v/>
      </c>
      <c r="G18" s="40">
        <f>IF(B18="","",B18*C18)</f>
        <v/>
      </c>
      <c r="H18" s="40">
        <f>IF(B18="","",D18*E18)</f>
        <v/>
      </c>
      <c r="I18" s="40">
        <f>IF(B18="","",B18*E18)</f>
        <v/>
      </c>
      <c r="J18" s="40">
        <f>IF(B18="","",E18*B18)</f>
        <v/>
      </c>
      <c r="K18" s="40">
        <f>IF(B18="","",C18*D18)</f>
        <v/>
      </c>
    </row>
    <row r="19">
      <c r="A19" s="33" t="n"/>
      <c r="B19" s="33" t="n"/>
      <c r="C19" s="33" t="n"/>
      <c r="D19" s="33" t="n"/>
      <c r="E19" s="33" t="n"/>
      <c r="F19" s="40">
        <f>IF(B19="","",D19*C19)</f>
        <v/>
      </c>
      <c r="G19" s="40">
        <f>IF(B19="","",B19*C19)</f>
        <v/>
      </c>
      <c r="H19" s="40">
        <f>IF(B19="","",D19*E19)</f>
        <v/>
      </c>
      <c r="I19" s="40">
        <f>IF(B19="","",B19*E19)</f>
        <v/>
      </c>
      <c r="J19" s="40">
        <f>IF(B19="","",E19*B19)</f>
        <v/>
      </c>
      <c r="K19" s="40">
        <f>IF(B19="","",C19*D19)</f>
        <v/>
      </c>
    </row>
    <row r="20">
      <c r="A20" s="33" t="n"/>
      <c r="B20" s="33" t="n"/>
      <c r="C20" s="33" t="n"/>
      <c r="D20" s="33" t="n"/>
      <c r="E20" s="33" t="n"/>
      <c r="F20" s="40">
        <f>IF(B20="","",D20*C20)</f>
        <v/>
      </c>
      <c r="G20" s="40">
        <f>IF(B20="","",B20*C20)</f>
        <v/>
      </c>
      <c r="H20" s="40">
        <f>IF(B20="","",D20*E20)</f>
        <v/>
      </c>
      <c r="I20" s="40">
        <f>IF(B20="","",B20*E20)</f>
        <v/>
      </c>
      <c r="J20" s="40">
        <f>IF(B20="","",E20*B20)</f>
        <v/>
      </c>
      <c r="K20" s="40">
        <f>IF(B20="","",C20*D20)</f>
        <v/>
      </c>
    </row>
    <row r="21">
      <c r="A21" s="33" t="n"/>
      <c r="B21" s="33" t="n"/>
      <c r="C21" s="33" t="n"/>
      <c r="D21" s="33" t="n"/>
      <c r="E21" s="33" t="n"/>
      <c r="F21" s="40">
        <f>IF(B21="","",D21*C21)</f>
        <v/>
      </c>
      <c r="G21" s="40">
        <f>IF(B21="","",B21*C21)</f>
        <v/>
      </c>
      <c r="H21" s="40">
        <f>IF(B21="","",D21*E21)</f>
        <v/>
      </c>
      <c r="I21" s="40">
        <f>IF(B21="","",B21*E21)</f>
        <v/>
      </c>
      <c r="J21" s="40">
        <f>IF(B21="","",E21*B21)</f>
        <v/>
      </c>
      <c r="K21" s="40">
        <f>IF(B21="","",C21*D21)</f>
        <v/>
      </c>
    </row>
    <row r="22">
      <c r="A22" s="33" t="n"/>
      <c r="B22" s="33" t="n"/>
      <c r="C22" s="33" t="n"/>
      <c r="D22" s="33" t="n"/>
      <c r="E22" s="33" t="n"/>
      <c r="F22" s="40">
        <f>IF(B22="","",D22*C22)</f>
        <v/>
      </c>
      <c r="G22" s="40">
        <f>IF(B22="","",B22*C22)</f>
        <v/>
      </c>
      <c r="H22" s="40">
        <f>IF(B22="","",D22*E22)</f>
        <v/>
      </c>
      <c r="I22" s="40">
        <f>IF(B22="","",B22*E22)</f>
        <v/>
      </c>
      <c r="J22" s="40">
        <f>IF(B22="","",E22*B22)</f>
        <v/>
      </c>
      <c r="K22" s="40">
        <f>IF(B22="","",C22*D22)</f>
        <v/>
      </c>
    </row>
    <row r="23">
      <c r="A23" s="33" t="n"/>
      <c r="B23" s="33" t="n"/>
      <c r="C23" s="33" t="n"/>
      <c r="D23" s="33" t="n"/>
      <c r="E23" s="33" t="n"/>
      <c r="F23" s="40">
        <f>IF(B23="","",D23*C23)</f>
        <v/>
      </c>
      <c r="G23" s="40">
        <f>IF(B23="","",B23*C23)</f>
        <v/>
      </c>
      <c r="H23" s="40">
        <f>IF(B23="","",D23*E23)</f>
        <v/>
      </c>
      <c r="I23" s="40">
        <f>IF(B23="","",B23*E23)</f>
        <v/>
      </c>
      <c r="J23" s="40">
        <f>IF(B23="","",E23*B23)</f>
        <v/>
      </c>
      <c r="K23" s="40">
        <f>IF(B23="","",C23*D23)</f>
        <v/>
      </c>
    </row>
    <row r="24">
      <c r="A24" s="33" t="n"/>
      <c r="B24" s="33" t="n"/>
      <c r="C24" s="33" t="n"/>
      <c r="D24" s="33" t="n"/>
      <c r="E24" s="33" t="n"/>
      <c r="F24" s="40">
        <f>IF(B24="","",D24*C24)</f>
        <v/>
      </c>
      <c r="G24" s="40">
        <f>IF(B24="","",B24*C24)</f>
        <v/>
      </c>
      <c r="H24" s="40">
        <f>IF(B24="","",D24*E24)</f>
        <v/>
      </c>
      <c r="I24" s="40">
        <f>IF(B24="","",B24*E24)</f>
        <v/>
      </c>
      <c r="J24" s="40">
        <f>IF(B24="","",E24*B24)</f>
        <v/>
      </c>
      <c r="K24" s="40">
        <f>IF(B24="","",C24*D24)</f>
        <v/>
      </c>
    </row>
    <row r="25">
      <c r="A25" s="33" t="n"/>
      <c r="B25" s="33" t="n"/>
      <c r="C25" s="33" t="n"/>
      <c r="D25" s="33" t="n"/>
      <c r="E25" s="33" t="n"/>
      <c r="F25" s="40">
        <f>IF(B25="","",D25*C25)</f>
        <v/>
      </c>
      <c r="G25" s="40">
        <f>IF(B25="","",B25*C25)</f>
        <v/>
      </c>
      <c r="H25" s="40">
        <f>IF(B25="","",D25*E25)</f>
        <v/>
      </c>
      <c r="I25" s="40">
        <f>IF(B25="","",B25*E25)</f>
        <v/>
      </c>
      <c r="J25" s="40">
        <f>IF(B25="","",E25*B25)</f>
        <v/>
      </c>
      <c r="K25" s="40">
        <f>IF(B25="","",C25*D25)</f>
        <v/>
      </c>
    </row>
    <row r="26">
      <c r="A26" s="33" t="n"/>
      <c r="B26" s="33" t="n"/>
      <c r="C26" s="33" t="n"/>
      <c r="D26" s="33" t="n"/>
      <c r="E26" s="33" t="n"/>
      <c r="F26" s="40">
        <f>IF(B26="","",D26*C26)</f>
        <v/>
      </c>
      <c r="G26" s="40">
        <f>IF(B26="","",B26*C26)</f>
        <v/>
      </c>
      <c r="H26" s="40">
        <f>IF(B26="","",D26*E26)</f>
        <v/>
      </c>
      <c r="I26" s="40">
        <f>IF(B26="","",B26*E26)</f>
        <v/>
      </c>
      <c r="J26" s="40">
        <f>IF(B26="","",E26*B26)</f>
        <v/>
      </c>
      <c r="K26" s="40">
        <f>IF(B26="","",C26*D26)</f>
        <v/>
      </c>
    </row>
  </sheetData>
  <hyperlinks>
    <hyperlink ref="J1" location="'Inicio'!A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A86F00"/>
    <outlinePr summaryBelow="1" summaryRight="1"/>
    <pageSetUpPr/>
  </sheetPr>
  <dimension ref="A1:J36"/>
  <sheetViews>
    <sheetView tabSelected="0" zoomScale="115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4" customWidth="1" min="4" max="4"/>
    <col width="14" customWidth="1" min="5" max="5"/>
    <col width="14" customWidth="1" min="6" max="6"/>
    <col width="3" customWidth="1" min="7" max="7"/>
    <col width="40" customWidth="1" min="8" max="8"/>
    <col width="16" customWidth="1" min="9" max="9"/>
  </cols>
  <sheetData>
    <row r="1" ht="30" customHeight="1">
      <c r="A1" s="47" t="inlineStr">
        <is>
          <t>L · Deflactar con el IPC (valores reales)</t>
        </is>
      </c>
      <c r="B1" s="18" t="n"/>
      <c r="C1" s="18" t="n"/>
      <c r="D1" s="18" t="n"/>
      <c r="E1" s="18" t="n"/>
      <c r="F1" s="18" t="n"/>
      <c r="G1" s="18" t="n"/>
      <c r="H1" s="18" t="n"/>
      <c r="J1" s="20" t="inlineStr">
        <is>
          <t>← Volver al inicio</t>
        </is>
      </c>
    </row>
    <row r="2">
      <c r="A2" s="2" t="inlineStr">
        <is>
          <t>Años en A, valores nominales (salario, alquiler…) en B e IPC en C. Elige el año de referencia en H5.</t>
        </is>
      </c>
    </row>
    <row r="3">
      <c r="A3" s="28" t="inlineStr">
        <is>
          <t>Valor real = nominal / IPC × IPC del año de referencia. Sale en euros del año de referencia.</t>
        </is>
      </c>
    </row>
    <row r="4">
      <c r="A4" s="29" t="inlineStr">
        <is>
          <t>Amarillo: escribe o pega aquí tus datos.  Verde: resultados (no los toques).</t>
        </is>
      </c>
    </row>
    <row r="5">
      <c r="H5" s="30" t="inlineStr">
        <is>
          <t>Año de referencia →</t>
        </is>
      </c>
      <c r="I5" s="31" t="n">
        <v>2015</v>
      </c>
    </row>
    <row r="6">
      <c r="A6" s="21" t="inlineStr">
        <is>
          <t>Año</t>
        </is>
      </c>
      <c r="B6" s="21" t="inlineStr">
        <is>
          <t>Nominal</t>
        </is>
      </c>
      <c r="C6" s="21" t="inlineStr">
        <is>
          <t>IPC</t>
        </is>
      </c>
      <c r="D6" s="21" t="inlineStr">
        <is>
          <t>Real (€ año ref.)</t>
        </is>
      </c>
      <c r="E6" s="21" t="inlineStr">
        <is>
          <t>Índice nominal</t>
        </is>
      </c>
      <c r="F6" s="21" t="inlineStr">
        <is>
          <t>Índice real</t>
        </is>
      </c>
    </row>
    <row r="7">
      <c r="A7" s="33" t="n"/>
      <c r="B7" s="33" t="n"/>
      <c r="C7" s="33" t="n"/>
      <c r="D7" s="36">
        <f>IF(B7="","",B7/C7*INDEX($C$7:$C$36,MATCH($I$5,$A$7:$A$36,0)))</f>
        <v/>
      </c>
      <c r="E7" s="36">
        <f>IF(B7="","",B7/INDEX($B$7:$B$36,MATCH($I$5,$A$7:$A$36,0))*100)</f>
        <v/>
      </c>
      <c r="F7" s="36">
        <f>IF(B7="","",D7/INDEX($D$7:$D$36,MATCH($I$5,$A$7:$A$36,0))*100)</f>
        <v/>
      </c>
      <c r="H7" s="32" t="inlineStr">
        <is>
          <t>Variación nominal (primero → último)</t>
        </is>
      </c>
      <c r="I7" s="42">
        <f>IFERROR(INDEX(B7:B36,COUNT(B7:B36))/B7-1,"")</f>
        <v/>
      </c>
    </row>
    <row r="8">
      <c r="A8" s="33" t="n"/>
      <c r="B8" s="33" t="n"/>
      <c r="C8" s="33" t="n"/>
      <c r="D8" s="36">
        <f>IF(B8="","",B8/C8*INDEX($C$7:$C$36,MATCH($I$5,$A$7:$A$36,0)))</f>
        <v/>
      </c>
      <c r="E8" s="36">
        <f>IF(B8="","",B8/INDEX($B$7:$B$36,MATCH($I$5,$A$7:$A$36,0))*100)</f>
        <v/>
      </c>
      <c r="F8" s="36">
        <f>IF(B8="","",D8/INDEX($D$7:$D$36,MATCH($I$5,$A$7:$A$36,0))*100)</f>
        <v/>
      </c>
      <c r="H8" s="32" t="inlineStr">
        <is>
          <t>Variación real (primero → último)</t>
        </is>
      </c>
      <c r="I8" s="42">
        <f>IFERROR(INDEX(D7:D36,COUNT(B7:B36))/D7-1,"")</f>
        <v/>
      </c>
    </row>
    <row r="9">
      <c r="A9" s="33" t="n"/>
      <c r="B9" s="33" t="n"/>
      <c r="C9" s="33" t="n"/>
      <c r="D9" s="36">
        <f>IF(B9="","",B9/C9*INDEX($C$7:$C$36,MATCH($I$5,$A$7:$A$36,0)))</f>
        <v/>
      </c>
      <c r="E9" s="36">
        <f>IF(B9="","",B9/INDEX($B$7:$B$36,MATCH($I$5,$A$7:$A$36,0))*100)</f>
        <v/>
      </c>
      <c r="F9" s="36">
        <f>IF(B9="","",D9/INDEX($D$7:$D$36,MATCH($I$5,$A$7:$A$36,0))*100)</f>
        <v/>
      </c>
      <c r="H9" s="32" t="inlineStr">
        <is>
          <t>Inflación del periodo</t>
        </is>
      </c>
      <c r="I9" s="42">
        <f>IFERROR(INDEX(C7:C36,COUNT(B7:B36))/C7-1,"")</f>
        <v/>
      </c>
    </row>
    <row r="10">
      <c r="A10" s="33" t="n"/>
      <c r="B10" s="33" t="n"/>
      <c r="C10" s="33" t="n"/>
      <c r="D10" s="36">
        <f>IF(B10="","",B10/C10*INDEX($C$7:$C$36,MATCH($I$5,$A$7:$A$36,0)))</f>
        <v/>
      </c>
      <c r="E10" s="36">
        <f>IF(B10="","",B10/INDEX($B$7:$B$36,MATCH($I$5,$A$7:$A$36,0))*100)</f>
        <v/>
      </c>
      <c r="F10" s="36">
        <f>IF(B10="","",D10/INDEX($D$7:$D$36,MATCH($I$5,$A$7:$A$36,0))*100)</f>
        <v/>
      </c>
      <c r="H10" s="32" t="inlineStr">
        <is>
          <t>Para mantener el poder adquisitivo, el último año debería valer</t>
        </is>
      </c>
      <c r="I10" s="53">
        <f>IFERROR(B7*INDEX(C7:C36,COUNT(B7:B36))/C7,"")</f>
        <v/>
      </c>
    </row>
    <row r="11">
      <c r="A11" s="33" t="n"/>
      <c r="B11" s="33" t="n"/>
      <c r="C11" s="33" t="n"/>
      <c r="D11" s="36">
        <f>IF(B11="","",B11/C11*INDEX($C$7:$C$36,MATCH($I$5,$A$7:$A$36,0)))</f>
        <v/>
      </c>
      <c r="E11" s="36">
        <f>IF(B11="","",B11/INDEX($B$7:$B$36,MATCH($I$5,$A$7:$A$36,0))*100)</f>
        <v/>
      </c>
      <c r="F11" s="36">
        <f>IF(B11="","",D11/INDEX($D$7:$D$36,MATCH($I$5,$A$7:$A$36,0))*100)</f>
        <v/>
      </c>
    </row>
    <row r="12">
      <c r="A12" s="33" t="n"/>
      <c r="B12" s="33" t="n"/>
      <c r="C12" s="33" t="n"/>
      <c r="D12" s="36">
        <f>IF(B12="","",B12/C12*INDEX($C$7:$C$36,MATCH($I$5,$A$7:$A$36,0)))</f>
        <v/>
      </c>
      <c r="E12" s="36">
        <f>IF(B12="","",B12/INDEX($B$7:$B$36,MATCH($I$5,$A$7:$A$36,0))*100)</f>
        <v/>
      </c>
      <c r="F12" s="36">
        <f>IF(B12="","",D12/INDEX($D$7:$D$36,MATCH($I$5,$A$7:$A$36,0))*100)</f>
        <v/>
      </c>
    </row>
    <row r="13">
      <c r="A13" s="33" t="n"/>
      <c r="B13" s="33" t="n"/>
      <c r="C13" s="33" t="n"/>
      <c r="D13" s="36">
        <f>IF(B13="","",B13/C13*INDEX($C$7:$C$36,MATCH($I$5,$A$7:$A$36,0)))</f>
        <v/>
      </c>
      <c r="E13" s="36">
        <f>IF(B13="","",B13/INDEX($B$7:$B$36,MATCH($I$5,$A$7:$A$36,0))*100)</f>
        <v/>
      </c>
      <c r="F13" s="36">
        <f>IF(B13="","",D13/INDEX($D$7:$D$36,MATCH($I$5,$A$7:$A$36,0))*100)</f>
        <v/>
      </c>
    </row>
    <row r="14">
      <c r="A14" s="33" t="n"/>
      <c r="B14" s="33" t="n"/>
      <c r="C14" s="33" t="n"/>
      <c r="D14" s="36">
        <f>IF(B14="","",B14/C14*INDEX($C$7:$C$36,MATCH($I$5,$A$7:$A$36,0)))</f>
        <v/>
      </c>
      <c r="E14" s="36">
        <f>IF(B14="","",B14/INDEX($B$7:$B$36,MATCH($I$5,$A$7:$A$36,0))*100)</f>
        <v/>
      </c>
      <c r="F14" s="36">
        <f>IF(B14="","",D14/INDEX($D$7:$D$36,MATCH($I$5,$A$7:$A$36,0))*100)</f>
        <v/>
      </c>
    </row>
    <row r="15">
      <c r="A15" s="33" t="n"/>
      <c r="B15" s="33" t="n"/>
      <c r="C15" s="33" t="n"/>
      <c r="D15" s="36">
        <f>IF(B15="","",B15/C15*INDEX($C$7:$C$36,MATCH($I$5,$A$7:$A$36,0)))</f>
        <v/>
      </c>
      <c r="E15" s="36">
        <f>IF(B15="","",B15/INDEX($B$7:$B$36,MATCH($I$5,$A$7:$A$36,0))*100)</f>
        <v/>
      </c>
      <c r="F15" s="36">
        <f>IF(B15="","",D15/INDEX($D$7:$D$36,MATCH($I$5,$A$7:$A$36,0))*100)</f>
        <v/>
      </c>
    </row>
    <row r="16">
      <c r="A16" s="33" t="n"/>
      <c r="B16" s="33" t="n"/>
      <c r="C16" s="33" t="n"/>
      <c r="D16" s="36">
        <f>IF(B16="","",B16/C16*INDEX($C$7:$C$36,MATCH($I$5,$A$7:$A$36,0)))</f>
        <v/>
      </c>
      <c r="E16" s="36">
        <f>IF(B16="","",B16/INDEX($B$7:$B$36,MATCH($I$5,$A$7:$A$36,0))*100)</f>
        <v/>
      </c>
      <c r="F16" s="36">
        <f>IF(B16="","",D16/INDEX($D$7:$D$36,MATCH($I$5,$A$7:$A$36,0))*100)</f>
        <v/>
      </c>
    </row>
    <row r="17">
      <c r="A17" s="33" t="n"/>
      <c r="B17" s="33" t="n"/>
      <c r="C17" s="33" t="n"/>
      <c r="D17" s="36">
        <f>IF(B17="","",B17/C17*INDEX($C$7:$C$36,MATCH($I$5,$A$7:$A$36,0)))</f>
        <v/>
      </c>
      <c r="E17" s="36">
        <f>IF(B17="","",B17/INDEX($B$7:$B$36,MATCH($I$5,$A$7:$A$36,0))*100)</f>
        <v/>
      </c>
      <c r="F17" s="36">
        <f>IF(B17="","",D17/INDEX($D$7:$D$36,MATCH($I$5,$A$7:$A$36,0))*100)</f>
        <v/>
      </c>
    </row>
    <row r="18">
      <c r="A18" s="33" t="n"/>
      <c r="B18" s="33" t="n"/>
      <c r="C18" s="33" t="n"/>
      <c r="D18" s="36">
        <f>IF(B18="","",B18/C18*INDEX($C$7:$C$36,MATCH($I$5,$A$7:$A$36,0)))</f>
        <v/>
      </c>
      <c r="E18" s="36">
        <f>IF(B18="","",B18/INDEX($B$7:$B$36,MATCH($I$5,$A$7:$A$36,0))*100)</f>
        <v/>
      </c>
      <c r="F18" s="36">
        <f>IF(B18="","",D18/INDEX($D$7:$D$36,MATCH($I$5,$A$7:$A$36,0))*100)</f>
        <v/>
      </c>
    </row>
    <row r="19">
      <c r="A19" s="33" t="n"/>
      <c r="B19" s="33" t="n"/>
      <c r="C19" s="33" t="n"/>
      <c r="D19" s="36">
        <f>IF(B19="","",B19/C19*INDEX($C$7:$C$36,MATCH($I$5,$A$7:$A$36,0)))</f>
        <v/>
      </c>
      <c r="E19" s="36">
        <f>IF(B19="","",B19/INDEX($B$7:$B$36,MATCH($I$5,$A$7:$A$36,0))*100)</f>
        <v/>
      </c>
      <c r="F19" s="36">
        <f>IF(B19="","",D19/INDEX($D$7:$D$36,MATCH($I$5,$A$7:$A$36,0))*100)</f>
        <v/>
      </c>
    </row>
    <row r="20">
      <c r="A20" s="33" t="n"/>
      <c r="B20" s="33" t="n"/>
      <c r="C20" s="33" t="n"/>
      <c r="D20" s="36">
        <f>IF(B20="","",B20/C20*INDEX($C$7:$C$36,MATCH($I$5,$A$7:$A$36,0)))</f>
        <v/>
      </c>
      <c r="E20" s="36">
        <f>IF(B20="","",B20/INDEX($B$7:$B$36,MATCH($I$5,$A$7:$A$36,0))*100)</f>
        <v/>
      </c>
      <c r="F20" s="36">
        <f>IF(B20="","",D20/INDEX($D$7:$D$36,MATCH($I$5,$A$7:$A$36,0))*100)</f>
        <v/>
      </c>
    </row>
    <row r="21">
      <c r="A21" s="33" t="n"/>
      <c r="B21" s="33" t="n"/>
      <c r="C21" s="33" t="n"/>
      <c r="D21" s="36">
        <f>IF(B21="","",B21/C21*INDEX($C$7:$C$36,MATCH($I$5,$A$7:$A$36,0)))</f>
        <v/>
      </c>
      <c r="E21" s="36">
        <f>IF(B21="","",B21/INDEX($B$7:$B$36,MATCH($I$5,$A$7:$A$36,0))*100)</f>
        <v/>
      </c>
      <c r="F21" s="36">
        <f>IF(B21="","",D21/INDEX($D$7:$D$36,MATCH($I$5,$A$7:$A$36,0))*100)</f>
        <v/>
      </c>
    </row>
    <row r="22">
      <c r="A22" s="33" t="n"/>
      <c r="B22" s="33" t="n"/>
      <c r="C22" s="33" t="n"/>
      <c r="D22" s="36">
        <f>IF(B22="","",B22/C22*INDEX($C$7:$C$36,MATCH($I$5,$A$7:$A$36,0)))</f>
        <v/>
      </c>
      <c r="E22" s="36">
        <f>IF(B22="","",B22/INDEX($B$7:$B$36,MATCH($I$5,$A$7:$A$36,0))*100)</f>
        <v/>
      </c>
      <c r="F22" s="36">
        <f>IF(B22="","",D22/INDEX($D$7:$D$36,MATCH($I$5,$A$7:$A$36,0))*100)</f>
        <v/>
      </c>
    </row>
    <row r="23">
      <c r="A23" s="33" t="n"/>
      <c r="B23" s="33" t="n"/>
      <c r="C23" s="33" t="n"/>
      <c r="D23" s="36">
        <f>IF(B23="","",B23/C23*INDEX($C$7:$C$36,MATCH($I$5,$A$7:$A$36,0)))</f>
        <v/>
      </c>
      <c r="E23" s="36">
        <f>IF(B23="","",B23/INDEX($B$7:$B$36,MATCH($I$5,$A$7:$A$36,0))*100)</f>
        <v/>
      </c>
      <c r="F23" s="36">
        <f>IF(B23="","",D23/INDEX($D$7:$D$36,MATCH($I$5,$A$7:$A$36,0))*100)</f>
        <v/>
      </c>
    </row>
    <row r="24">
      <c r="A24" s="33" t="n"/>
      <c r="B24" s="33" t="n"/>
      <c r="C24" s="33" t="n"/>
      <c r="D24" s="36">
        <f>IF(B24="","",B24/C24*INDEX($C$7:$C$36,MATCH($I$5,$A$7:$A$36,0)))</f>
        <v/>
      </c>
      <c r="E24" s="36">
        <f>IF(B24="","",B24/INDEX($B$7:$B$36,MATCH($I$5,$A$7:$A$36,0))*100)</f>
        <v/>
      </c>
      <c r="F24" s="36">
        <f>IF(B24="","",D24/INDEX($D$7:$D$36,MATCH($I$5,$A$7:$A$36,0))*100)</f>
        <v/>
      </c>
    </row>
    <row r="25">
      <c r="A25" s="33" t="n"/>
      <c r="B25" s="33" t="n"/>
      <c r="C25" s="33" t="n"/>
      <c r="D25" s="36">
        <f>IF(B25="","",B25/C25*INDEX($C$7:$C$36,MATCH($I$5,$A$7:$A$36,0)))</f>
        <v/>
      </c>
      <c r="E25" s="36">
        <f>IF(B25="","",B25/INDEX($B$7:$B$36,MATCH($I$5,$A$7:$A$36,0))*100)</f>
        <v/>
      </c>
      <c r="F25" s="36">
        <f>IF(B25="","",D25/INDEX($D$7:$D$36,MATCH($I$5,$A$7:$A$36,0))*100)</f>
        <v/>
      </c>
    </row>
    <row r="26">
      <c r="A26" s="33" t="n"/>
      <c r="B26" s="33" t="n"/>
      <c r="C26" s="33" t="n"/>
      <c r="D26" s="36">
        <f>IF(B26="","",B26/C26*INDEX($C$7:$C$36,MATCH($I$5,$A$7:$A$36,0)))</f>
        <v/>
      </c>
      <c r="E26" s="36">
        <f>IF(B26="","",B26/INDEX($B$7:$B$36,MATCH($I$5,$A$7:$A$36,0))*100)</f>
        <v/>
      </c>
      <c r="F26" s="36">
        <f>IF(B26="","",D26/INDEX($D$7:$D$36,MATCH($I$5,$A$7:$A$36,0))*100)</f>
        <v/>
      </c>
    </row>
    <row r="27">
      <c r="A27" s="33" t="n"/>
      <c r="B27" s="33" t="n"/>
      <c r="C27" s="33" t="n"/>
      <c r="D27" s="36">
        <f>IF(B27="","",B27/C27*INDEX($C$7:$C$36,MATCH($I$5,$A$7:$A$36,0)))</f>
        <v/>
      </c>
      <c r="E27" s="36">
        <f>IF(B27="","",B27/INDEX($B$7:$B$36,MATCH($I$5,$A$7:$A$36,0))*100)</f>
        <v/>
      </c>
      <c r="F27" s="36">
        <f>IF(B27="","",D27/INDEX($D$7:$D$36,MATCH($I$5,$A$7:$A$36,0))*100)</f>
        <v/>
      </c>
    </row>
    <row r="28">
      <c r="A28" s="33" t="n"/>
      <c r="B28" s="33" t="n"/>
      <c r="C28" s="33" t="n"/>
      <c r="D28" s="36">
        <f>IF(B28="","",B28/C28*INDEX($C$7:$C$36,MATCH($I$5,$A$7:$A$36,0)))</f>
        <v/>
      </c>
      <c r="E28" s="36">
        <f>IF(B28="","",B28/INDEX($B$7:$B$36,MATCH($I$5,$A$7:$A$36,0))*100)</f>
        <v/>
      </c>
      <c r="F28" s="36">
        <f>IF(B28="","",D28/INDEX($D$7:$D$36,MATCH($I$5,$A$7:$A$36,0))*100)</f>
        <v/>
      </c>
    </row>
    <row r="29">
      <c r="A29" s="33" t="n"/>
      <c r="B29" s="33" t="n"/>
      <c r="C29" s="33" t="n"/>
      <c r="D29" s="36">
        <f>IF(B29="","",B29/C29*INDEX($C$7:$C$36,MATCH($I$5,$A$7:$A$36,0)))</f>
        <v/>
      </c>
      <c r="E29" s="36">
        <f>IF(B29="","",B29/INDEX($B$7:$B$36,MATCH($I$5,$A$7:$A$36,0))*100)</f>
        <v/>
      </c>
      <c r="F29" s="36">
        <f>IF(B29="","",D29/INDEX($D$7:$D$36,MATCH($I$5,$A$7:$A$36,0))*100)</f>
        <v/>
      </c>
    </row>
    <row r="30">
      <c r="A30" s="33" t="n"/>
      <c r="B30" s="33" t="n"/>
      <c r="C30" s="33" t="n"/>
      <c r="D30" s="36">
        <f>IF(B30="","",B30/C30*INDEX($C$7:$C$36,MATCH($I$5,$A$7:$A$36,0)))</f>
        <v/>
      </c>
      <c r="E30" s="36">
        <f>IF(B30="","",B30/INDEX($B$7:$B$36,MATCH($I$5,$A$7:$A$36,0))*100)</f>
        <v/>
      </c>
      <c r="F30" s="36">
        <f>IF(B30="","",D30/INDEX($D$7:$D$36,MATCH($I$5,$A$7:$A$36,0))*100)</f>
        <v/>
      </c>
    </row>
    <row r="31">
      <c r="A31" s="33" t="n"/>
      <c r="B31" s="33" t="n"/>
      <c r="C31" s="33" t="n"/>
      <c r="D31" s="36">
        <f>IF(B31="","",B31/C31*INDEX($C$7:$C$36,MATCH($I$5,$A$7:$A$36,0)))</f>
        <v/>
      </c>
      <c r="E31" s="36">
        <f>IF(B31="","",B31/INDEX($B$7:$B$36,MATCH($I$5,$A$7:$A$36,0))*100)</f>
        <v/>
      </c>
      <c r="F31" s="36">
        <f>IF(B31="","",D31/INDEX($D$7:$D$36,MATCH($I$5,$A$7:$A$36,0))*100)</f>
        <v/>
      </c>
    </row>
    <row r="32">
      <c r="A32" s="33" t="n"/>
      <c r="B32" s="33" t="n"/>
      <c r="C32" s="33" t="n"/>
      <c r="D32" s="36">
        <f>IF(B32="","",B32/C32*INDEX($C$7:$C$36,MATCH($I$5,$A$7:$A$36,0)))</f>
        <v/>
      </c>
      <c r="E32" s="36">
        <f>IF(B32="","",B32/INDEX($B$7:$B$36,MATCH($I$5,$A$7:$A$36,0))*100)</f>
        <v/>
      </c>
      <c r="F32" s="36">
        <f>IF(B32="","",D32/INDEX($D$7:$D$36,MATCH($I$5,$A$7:$A$36,0))*100)</f>
        <v/>
      </c>
    </row>
    <row r="33">
      <c r="A33" s="33" t="n"/>
      <c r="B33" s="33" t="n"/>
      <c r="C33" s="33" t="n"/>
      <c r="D33" s="36">
        <f>IF(B33="","",B33/C33*INDEX($C$7:$C$36,MATCH($I$5,$A$7:$A$36,0)))</f>
        <v/>
      </c>
      <c r="E33" s="36">
        <f>IF(B33="","",B33/INDEX($B$7:$B$36,MATCH($I$5,$A$7:$A$36,0))*100)</f>
        <v/>
      </c>
      <c r="F33" s="36">
        <f>IF(B33="","",D33/INDEX($D$7:$D$36,MATCH($I$5,$A$7:$A$36,0))*100)</f>
        <v/>
      </c>
    </row>
    <row r="34">
      <c r="A34" s="33" t="n"/>
      <c r="B34" s="33" t="n"/>
      <c r="C34" s="33" t="n"/>
      <c r="D34" s="36">
        <f>IF(B34="","",B34/C34*INDEX($C$7:$C$36,MATCH($I$5,$A$7:$A$36,0)))</f>
        <v/>
      </c>
      <c r="E34" s="36">
        <f>IF(B34="","",B34/INDEX($B$7:$B$36,MATCH($I$5,$A$7:$A$36,0))*100)</f>
        <v/>
      </c>
      <c r="F34" s="36">
        <f>IF(B34="","",D34/INDEX($D$7:$D$36,MATCH($I$5,$A$7:$A$36,0))*100)</f>
        <v/>
      </c>
    </row>
    <row r="35">
      <c r="A35" s="33" t="n"/>
      <c r="B35" s="33" t="n"/>
      <c r="C35" s="33" t="n"/>
      <c r="D35" s="36">
        <f>IF(B35="","",B35/C35*INDEX($C$7:$C$36,MATCH($I$5,$A$7:$A$36,0)))</f>
        <v/>
      </c>
      <c r="E35" s="36">
        <f>IF(B35="","",B35/INDEX($B$7:$B$36,MATCH($I$5,$A$7:$A$36,0))*100)</f>
        <v/>
      </c>
      <c r="F35" s="36">
        <f>IF(B35="","",D35/INDEX($D$7:$D$36,MATCH($I$5,$A$7:$A$36,0))*100)</f>
        <v/>
      </c>
    </row>
    <row r="36">
      <c r="A36" s="33" t="n"/>
      <c r="B36" s="33" t="n"/>
      <c r="C36" s="33" t="n"/>
      <c r="D36" s="36">
        <f>IF(B36="","",B36/C36*INDEX($C$7:$C$36,MATCH($I$5,$A$7:$A$36,0)))</f>
        <v/>
      </c>
      <c r="E36" s="36">
        <f>IF(B36="","",B36/INDEX($B$7:$B$36,MATCH($I$5,$A$7:$A$36,0))*100)</f>
        <v/>
      </c>
      <c r="F36" s="36">
        <f>IF(B36="","",D36/INDEX($D$7:$D$36,MATCH($I$5,$A$7:$A$36,0))*100)</f>
        <v/>
      </c>
    </row>
  </sheetData>
  <hyperlinks>
    <hyperlink ref="J1" location="'Inicio'!A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48"/>
  <sheetViews>
    <sheetView tabSelected="0" zoomScale="11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6" customWidth="1" min="10" max="10"/>
    <col width="14" customWidth="1" min="11" max="11"/>
    <col width="34" customWidth="1" min="12" max="12"/>
    <col width="14" customWidth="1" min="13" max="13"/>
    <col width="14" customWidth="1" min="14" max="14"/>
    <col width="14" customWidth="1" min="15" max="15"/>
  </cols>
  <sheetData>
    <row r="1">
      <c r="A1" s="54" t="inlineStr">
        <is>
          <t>Tema 1 · Ejemplo de clase: número de hermanos (44 personas)</t>
        </is>
      </c>
      <c r="I1" s="20" t="inlineStr">
        <is>
          <t>← Volver al inicio</t>
        </is>
      </c>
    </row>
    <row r="2">
      <c r="A2" s="55" t="inlineStr">
        <is>
          <t>Datos en la columna A (A6:A49). Tabla de frecuencias y todas las medidas.</t>
        </is>
      </c>
    </row>
    <row r="3"/>
    <row r="4">
      <c r="A4" s="32" t="inlineStr">
        <is>
          <t>Hermanos (datos)</t>
        </is>
      </c>
      <c r="C4" s="56" t="inlineStr">
        <is>
          <t>xᵢ</t>
        </is>
      </c>
      <c r="D4" s="56" t="inlineStr">
        <is>
          <t>nᵢ</t>
        </is>
      </c>
      <c r="E4" s="56" t="inlineStr">
        <is>
          <t>fᵢ</t>
        </is>
      </c>
      <c r="F4" s="56" t="inlineStr">
        <is>
          <t>%</t>
        </is>
      </c>
      <c r="G4" s="56" t="inlineStr">
        <is>
          <t>Nᵢ</t>
        </is>
      </c>
      <c r="H4" s="56" t="inlineStr">
        <is>
          <t>Fᵢ</t>
        </is>
      </c>
      <c r="J4" s="32" t="inlineStr">
        <is>
          <t>Media</t>
        </is>
      </c>
      <c r="K4" s="57">
        <f>AVERAGE($A$5:$A$48)</f>
        <v/>
      </c>
      <c r="L4" s="58" t="inlineStr">
        <is>
          <t>→ =PROMEDIO($A$5:$A$48)</t>
        </is>
      </c>
    </row>
    <row r="5">
      <c r="A5" s="59" t="n">
        <v>0</v>
      </c>
      <c r="C5" s="60" t="n">
        <v>0</v>
      </c>
      <c r="D5" s="61">
        <f>COUNTIF($A$5:$A$48,C5)</f>
        <v/>
      </c>
      <c r="E5" s="61">
        <f>D5/$D$11</f>
        <v/>
      </c>
      <c r="F5" s="61">
        <f>E5*100</f>
        <v/>
      </c>
      <c r="G5" s="61">
        <f>D5</f>
        <v/>
      </c>
      <c r="H5" s="61">
        <f>G5/$D$11</f>
        <v/>
      </c>
      <c r="J5" s="32" t="inlineStr">
        <is>
          <t>Media desde la tabla</t>
        </is>
      </c>
      <c r="K5" s="57">
        <f>SUMPRODUCT(C5:C10,D5:D10)/D11</f>
        <v/>
      </c>
      <c r="L5" s="58" t="inlineStr">
        <is>
          <t>→ =SUMAPRODUCTO(C5:C10;D5:D10)/D11</t>
        </is>
      </c>
    </row>
    <row r="6">
      <c r="A6" s="59" t="n">
        <v>2</v>
      </c>
      <c r="C6" s="60" t="n">
        <v>1</v>
      </c>
      <c r="D6" s="61">
        <f>COUNTIF($A$5:$A$48,C6)</f>
        <v/>
      </c>
      <c r="E6" s="61">
        <f>D6/$D$11</f>
        <v/>
      </c>
      <c r="F6" s="61">
        <f>E6*100</f>
        <v/>
      </c>
      <c r="G6" s="61">
        <f>G5+D6</f>
        <v/>
      </c>
      <c r="H6" s="61">
        <f>G6/$D$11</f>
        <v/>
      </c>
      <c r="J6" s="32" t="inlineStr">
        <is>
          <t>Mediana</t>
        </is>
      </c>
      <c r="K6" s="57">
        <f>MEDIAN($A$5:$A$48)</f>
        <v/>
      </c>
      <c r="L6" s="58" t="inlineStr">
        <is>
          <t>→ =MEDIANA($A$5:$A$48)</t>
        </is>
      </c>
    </row>
    <row r="7">
      <c r="A7" s="59" t="n">
        <v>0</v>
      </c>
      <c r="C7" s="60" t="n">
        <v>2</v>
      </c>
      <c r="D7" s="61">
        <f>COUNTIF($A$5:$A$48,C7)</f>
        <v/>
      </c>
      <c r="E7" s="61">
        <f>D7/$D$11</f>
        <v/>
      </c>
      <c r="F7" s="61">
        <f>E7*100</f>
        <v/>
      </c>
      <c r="G7" s="61">
        <f>G6+D7</f>
        <v/>
      </c>
      <c r="H7" s="61">
        <f>G7/$D$11</f>
        <v/>
      </c>
      <c r="J7" s="32" t="inlineStr">
        <is>
          <t>Moda</t>
        </is>
      </c>
      <c r="K7" s="57">
        <f>_xlfn.MODE.SNGL($A$5:$A$48)</f>
        <v/>
      </c>
      <c r="L7" s="58" t="inlineStr">
        <is>
          <t>→ =MODA.UNO($A$5:$A$48)</t>
        </is>
      </c>
    </row>
    <row r="8">
      <c r="A8" s="59" t="n">
        <v>0</v>
      </c>
      <c r="C8" s="60" t="n">
        <v>3</v>
      </c>
      <c r="D8" s="61">
        <f>COUNTIF($A$5:$A$48,C8)</f>
        <v/>
      </c>
      <c r="E8" s="61">
        <f>D8/$D$11</f>
        <v/>
      </c>
      <c r="F8" s="61">
        <f>E8*100</f>
        <v/>
      </c>
      <c r="G8" s="61">
        <f>G7+D8</f>
        <v/>
      </c>
      <c r="H8" s="61">
        <f>G8/$D$11</f>
        <v/>
      </c>
      <c r="J8" s="32" t="inlineStr">
        <is>
          <t>Cuartil 1 (Excel)</t>
        </is>
      </c>
      <c r="K8" s="57">
        <f>_xlfn.QUARTILE.INC($A$5:$A$48,1)</f>
        <v/>
      </c>
      <c r="L8" s="58" t="inlineStr">
        <is>
          <t>→ =CUARTIL.INC($A$5:$A$48;1)</t>
        </is>
      </c>
    </row>
    <row r="9">
      <c r="A9" s="59" t="n">
        <v>2</v>
      </c>
      <c r="C9" s="60" t="n">
        <v>4</v>
      </c>
      <c r="D9" s="61">
        <f>COUNTIF($A$5:$A$48,C9)</f>
        <v/>
      </c>
      <c r="E9" s="61">
        <f>D9/$D$11</f>
        <v/>
      </c>
      <c r="F9" s="61">
        <f>E9*100</f>
        <v/>
      </c>
      <c r="G9" s="61">
        <f>G8+D9</f>
        <v/>
      </c>
      <c r="H9" s="61">
        <f>G9/$D$11</f>
        <v/>
      </c>
      <c r="J9" s="32" t="inlineStr">
        <is>
          <t>Cuartil 3 (Excel)</t>
        </is>
      </c>
      <c r="K9" s="57">
        <f>_xlfn.QUARTILE.INC($A$5:$A$48,3)</f>
        <v/>
      </c>
      <c r="L9" s="58" t="inlineStr">
        <is>
          <t>→ =CUARTIL.INC($A$5:$A$48;3)</t>
        </is>
      </c>
    </row>
    <row r="10">
      <c r="A10" s="59" t="n">
        <v>2</v>
      </c>
      <c r="C10" s="60" t="n">
        <v>5</v>
      </c>
      <c r="D10" s="61">
        <f>COUNTIF($A$5:$A$48,C10)</f>
        <v/>
      </c>
      <c r="E10" s="61">
        <f>D10/$D$11</f>
        <v/>
      </c>
      <c r="F10" s="61">
        <f>E10*100</f>
        <v/>
      </c>
      <c r="G10" s="61">
        <f>G9+D10</f>
        <v/>
      </c>
      <c r="H10" s="61">
        <f>G10/$D$11</f>
        <v/>
      </c>
      <c r="J10" s="32" t="inlineStr">
        <is>
          <t>Percentil 97</t>
        </is>
      </c>
      <c r="K10" s="57">
        <f>_xlfn.PERCENTILE.INC($A$5:$A$48,0.97)</f>
        <v/>
      </c>
      <c r="L10" s="58" t="inlineStr">
        <is>
          <t>→ =PERCENTIL.INC($A$5:$A$48;0,97)</t>
        </is>
      </c>
    </row>
    <row r="11">
      <c r="A11" s="59" t="n">
        <v>0</v>
      </c>
      <c r="C11" s="32" t="inlineStr">
        <is>
          <t>Total</t>
        </is>
      </c>
      <c r="D11">
        <f>SUM(D5:D10)</f>
        <v/>
      </c>
      <c r="E11">
        <f>SUM(E5:E10)</f>
        <v/>
      </c>
      <c r="F11">
        <f>SUM(F5:F10)</f>
        <v/>
      </c>
      <c r="J11" s="32" t="inlineStr">
        <is>
          <t>Rango</t>
        </is>
      </c>
      <c r="K11" s="57">
        <f>MAX($A$5:$A$48)-MIN($A$5:$A$48)</f>
        <v/>
      </c>
      <c r="L11" s="58" t="inlineStr">
        <is>
          <t>→ =MAX($A$5:$A$48)-MIN($A$5:$A$48)</t>
        </is>
      </c>
    </row>
    <row r="12">
      <c r="A12" s="59" t="n">
        <v>0</v>
      </c>
      <c r="C12" s="71" t="inlineStr">
        <is>
          <t>Fórmulas fila 1: nᵢ =CONTAR.SI($A$5:$A$48;C5) · fᵢ =D5/$D$11 · Nᵢ =D5 y luego =G5+D6</t>
        </is>
      </c>
      <c r="J12" s="32" t="inlineStr">
        <is>
          <t>Varianza S²</t>
        </is>
      </c>
      <c r="K12" s="57">
        <f>_xlfn.VAR.P($A$5:$A$48)</f>
        <v/>
      </c>
      <c r="L12" s="58" t="inlineStr">
        <is>
          <t>→ =VAR.P($A$5:$A$48)</t>
        </is>
      </c>
    </row>
    <row r="13">
      <c r="A13" s="59" t="n">
        <v>1</v>
      </c>
      <c r="J13" s="32" t="inlineStr">
        <is>
          <t>Cuasivarianza s²</t>
        </is>
      </c>
      <c r="K13" s="57">
        <f>_xlfn.VAR.S($A$5:$A$48)</f>
        <v/>
      </c>
      <c r="L13" s="58" t="inlineStr">
        <is>
          <t>→ =VAR.S($A$5:$A$48)</t>
        </is>
      </c>
    </row>
    <row r="14">
      <c r="A14" s="59" t="n">
        <v>1</v>
      </c>
      <c r="J14" s="32" t="inlineStr">
        <is>
          <t>Desviación típica S</t>
        </is>
      </c>
      <c r="K14" s="57">
        <f>_xlfn.STDEV.P($A$5:$A$48)</f>
        <v/>
      </c>
      <c r="L14" s="58" t="inlineStr">
        <is>
          <t>→ =DESVEST.P($A$5:$A$48)</t>
        </is>
      </c>
    </row>
    <row r="15">
      <c r="A15" s="59" t="n">
        <v>3</v>
      </c>
      <c r="J15" s="32" t="inlineStr">
        <is>
          <t>Cuasidesviación s</t>
        </is>
      </c>
      <c r="K15" s="57">
        <f>_xlfn.STDEV.S($A$5:$A$48)</f>
        <v/>
      </c>
      <c r="L15" s="58" t="inlineStr">
        <is>
          <t>→ =DESVEST.S($A$5:$A$48)</t>
        </is>
      </c>
    </row>
    <row r="16">
      <c r="A16" s="59" t="n">
        <v>0</v>
      </c>
      <c r="J16" s="32" t="inlineStr">
        <is>
          <t>Coef. variación</t>
        </is>
      </c>
      <c r="K16" s="57">
        <f>_xlfn.STDEV.P($A$5:$A$48)/AVERAGE($A$5:$A$48)</f>
        <v/>
      </c>
      <c r="L16" s="58" t="inlineStr">
        <is>
          <t>→ =DESVEST.P($A$5:$A$48)/PROMEDIO($A$5:$A$48)</t>
        </is>
      </c>
    </row>
    <row r="17">
      <c r="A17" s="59" t="n">
        <v>0</v>
      </c>
      <c r="J17" s="32" t="inlineStr">
        <is>
          <t>Asimetría (CA)</t>
        </is>
      </c>
      <c r="K17" s="57">
        <f>_xlfn.SKEW.P($A$5:$A$48)</f>
        <v/>
      </c>
      <c r="L17" s="58" t="inlineStr">
        <is>
          <t>→ =COEFICIENTE.ASIMETRIA.P($A$5:$A$48)</t>
        </is>
      </c>
    </row>
    <row r="18">
      <c r="A18" s="59" t="n">
        <v>1</v>
      </c>
      <c r="J18" s="32" t="inlineStr">
        <is>
          <t>Curtosis</t>
        </is>
      </c>
      <c r="K18" s="57">
        <f>KURT($A$5:$A$48)</f>
        <v/>
      </c>
      <c r="L18" s="58" t="inlineStr">
        <is>
          <t>→ =CURTOSIS($A$5:$A$48)</t>
        </is>
      </c>
    </row>
    <row r="19">
      <c r="A19" s="59" t="n">
        <v>0</v>
      </c>
      <c r="J19" s="63" t="inlineStr">
        <is>
          <t>C₃ con la receta de los apuntes = 1,5 (3n/4 = 33 = N exacto → (1+2)/2). Excel da 1,25 por usar otro método.</t>
        </is>
      </c>
    </row>
    <row r="20">
      <c r="A20" s="59" t="n">
        <v>0</v>
      </c>
      <c r="J20" s="32" t="inlineStr">
        <is>
          <t>Límite superior atípicos (receta)</t>
        </is>
      </c>
      <c r="K20" s="57">
        <f>1.5+1.5*(1.5-0)</f>
        <v/>
      </c>
      <c r="L20" s="58" t="inlineStr">
        <is>
          <t>→ =1,5+1,5*(1,5-0)</t>
        </is>
      </c>
      <c r="O20" s="55" t="inlineStr">
        <is>
          <t>4 y 5 son atípicos</t>
        </is>
      </c>
    </row>
    <row r="21">
      <c r="A21" s="59" t="n">
        <v>1</v>
      </c>
    </row>
    <row r="22">
      <c r="A22" s="59" t="n">
        <v>0</v>
      </c>
    </row>
    <row r="23">
      <c r="A23" s="59" t="n">
        <v>1</v>
      </c>
    </row>
    <row r="24">
      <c r="A24" s="59" t="n">
        <v>4</v>
      </c>
    </row>
    <row r="25">
      <c r="A25" s="59" t="n">
        <v>0</v>
      </c>
    </row>
    <row r="26">
      <c r="A26" s="59" t="n">
        <v>0</v>
      </c>
    </row>
    <row r="27">
      <c r="A27" s="59" t="n">
        <v>1</v>
      </c>
    </row>
    <row r="28">
      <c r="A28" s="59" t="n">
        <v>4</v>
      </c>
    </row>
    <row r="29">
      <c r="A29" s="59" t="n">
        <v>2</v>
      </c>
    </row>
    <row r="30">
      <c r="A30" s="59" t="n">
        <v>0</v>
      </c>
    </row>
    <row r="31">
      <c r="A31" s="59" t="n">
        <v>0</v>
      </c>
    </row>
    <row r="32">
      <c r="A32" s="59" t="n">
        <v>1</v>
      </c>
    </row>
    <row r="33">
      <c r="A33" s="59" t="n">
        <v>0</v>
      </c>
    </row>
    <row r="34">
      <c r="A34" s="59" t="n">
        <v>0</v>
      </c>
    </row>
    <row r="35">
      <c r="A35" s="59" t="n">
        <v>2</v>
      </c>
    </row>
    <row r="36">
      <c r="A36" s="59" t="n">
        <v>2</v>
      </c>
    </row>
    <row r="37">
      <c r="A37" s="59" t="n">
        <v>1</v>
      </c>
    </row>
    <row r="38">
      <c r="A38" s="59" t="n">
        <v>1</v>
      </c>
    </row>
    <row r="39">
      <c r="A39" s="59" t="n">
        <v>0</v>
      </c>
    </row>
    <row r="40">
      <c r="A40" s="59" t="n">
        <v>0</v>
      </c>
    </row>
    <row r="41">
      <c r="A41" s="59" t="n">
        <v>0</v>
      </c>
    </row>
    <row r="42">
      <c r="A42" s="59" t="n">
        <v>5</v>
      </c>
    </row>
    <row r="43">
      <c r="A43" s="59" t="n">
        <v>1</v>
      </c>
    </row>
    <row r="44">
      <c r="A44" s="59" t="n">
        <v>3</v>
      </c>
    </row>
    <row r="45">
      <c r="A45" s="59" t="n">
        <v>0</v>
      </c>
    </row>
    <row r="46">
      <c r="A46" s="59" t="n">
        <v>1</v>
      </c>
    </row>
    <row r="47">
      <c r="A47" s="59" t="n">
        <v>0</v>
      </c>
    </row>
    <row r="48">
      <c r="A48" s="59" t="n">
        <v>1</v>
      </c>
    </row>
  </sheetData>
  <hyperlinks>
    <hyperlink ref="I1" location="'Inicio'!A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33"/>
  <sheetViews>
    <sheetView tabSelected="0" zoomScale="11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54" t="inlineStr">
        <is>
          <t>Tema 1 · Ejemplo 3: alturas (16 personas)</t>
        </is>
      </c>
      <c r="I1" s="20" t="inlineStr">
        <is>
          <t>← Volver al inicio</t>
        </is>
      </c>
    </row>
    <row r="2">
      <c r="A2" s="55" t="inlineStr">
        <is>
          <t>Datos sueltos en la fila 5 y tabla agrupada en intervalos de amplitud 10.</t>
        </is>
      </c>
    </row>
    <row r="3"/>
    <row r="4">
      <c r="A4" s="32" t="inlineStr">
        <is>
          <t>Alturas</t>
        </is>
      </c>
      <c r="B4" s="59" t="n">
        <v>163</v>
      </c>
      <c r="C4" s="59" t="n">
        <v>167</v>
      </c>
      <c r="D4" s="59" t="n">
        <v>169</v>
      </c>
      <c r="E4" s="59" t="n">
        <v>172</v>
      </c>
      <c r="F4" s="59" t="n">
        <v>174</v>
      </c>
      <c r="G4" s="59" t="n">
        <v>176</v>
      </c>
      <c r="H4" s="59" t="n">
        <v>177</v>
      </c>
      <c r="I4" s="59" t="n">
        <v>178</v>
      </c>
      <c r="J4" s="59" t="n">
        <v>179</v>
      </c>
      <c r="K4" s="59" t="n">
        <v>181</v>
      </c>
      <c r="L4" s="59" t="n">
        <v>182</v>
      </c>
      <c r="M4" s="59" t="n">
        <v>184</v>
      </c>
      <c r="N4" s="59" t="n">
        <v>186</v>
      </c>
      <c r="O4" s="59" t="n">
        <v>189</v>
      </c>
      <c r="P4" s="59" t="n">
        <v>193</v>
      </c>
      <c r="Q4" s="59" t="n">
        <v>198</v>
      </c>
    </row>
    <row r="5"/>
    <row r="6">
      <c r="A6" s="64" t="inlineStr">
        <is>
          <t>Con los datos sueltos (exacto)</t>
        </is>
      </c>
    </row>
    <row r="7">
      <c r="A7" s="32" t="inlineStr">
        <is>
          <t>Media</t>
        </is>
      </c>
      <c r="B7" s="57">
        <f>AVERAGE($B$4:$Q$4)</f>
        <v/>
      </c>
      <c r="C7" s="58" t="inlineStr">
        <is>
          <t>→ =PROMEDIO($B$4:$Q$4)</t>
        </is>
      </c>
    </row>
    <row r="8">
      <c r="A8" s="32" t="inlineStr">
        <is>
          <t>Varianza S²</t>
        </is>
      </c>
      <c r="B8" s="57">
        <f>_xlfn.VAR.P($B$4:$Q$4)</f>
        <v/>
      </c>
      <c r="C8" s="58" t="inlineStr">
        <is>
          <t>→ =VAR.P($B$4:$Q$4)</t>
        </is>
      </c>
    </row>
    <row r="9">
      <c r="A9" s="32" t="inlineStr">
        <is>
          <t>Cuasivarianza s²</t>
        </is>
      </c>
      <c r="B9" s="57">
        <f>_xlfn.VAR.S($B$4:$Q$4)</f>
        <v/>
      </c>
      <c r="C9" s="58" t="inlineStr">
        <is>
          <t>→ =VAR.S($B$4:$Q$4)</t>
        </is>
      </c>
    </row>
    <row r="10">
      <c r="A10" s="32" t="inlineStr">
        <is>
          <t>S</t>
        </is>
      </c>
      <c r="B10" s="57">
        <f>_xlfn.STDEV.P($B$4:$Q$4)</f>
        <v/>
      </c>
      <c r="C10" s="58" t="inlineStr">
        <is>
          <t>→ =DESVEST.P($B$4:$Q$4)</t>
        </is>
      </c>
    </row>
    <row r="11">
      <c r="A11" s="32" t="inlineStr">
        <is>
          <t>s</t>
        </is>
      </c>
      <c r="B11" s="57">
        <f>_xlfn.STDEV.S($B$4:$Q$4)</f>
        <v/>
      </c>
      <c r="C11" s="58" t="inlineStr">
        <is>
          <t>→ =DESVEST.S($B$4:$Q$4)</t>
        </is>
      </c>
    </row>
    <row r="12">
      <c r="A12" s="32" t="inlineStr">
        <is>
          <t>Cuartil 1</t>
        </is>
      </c>
      <c r="B12" s="57">
        <f>_xlfn.QUARTILE.INC($B$4:$Q$4,1)</f>
        <v/>
      </c>
      <c r="C12" s="58" t="inlineStr">
        <is>
          <t>→ =CUARTIL.INC($B$4:$Q$4;1)</t>
        </is>
      </c>
    </row>
    <row r="13">
      <c r="A13" s="32" t="inlineStr">
        <is>
          <t>Mediana</t>
        </is>
      </c>
      <c r="B13" s="57">
        <f>MEDIAN($B$4:$Q$4)</f>
        <v/>
      </c>
      <c r="C13" s="58" t="inlineStr">
        <is>
          <t>→ =MEDIANA($B$4:$Q$4)</t>
        </is>
      </c>
    </row>
    <row r="14">
      <c r="A14" s="32" t="inlineStr">
        <is>
          <t>Cuartil 3</t>
        </is>
      </c>
      <c r="B14" s="57">
        <f>_xlfn.QUARTILE.INC($B$4:$Q$4,3)</f>
        <v/>
      </c>
      <c r="C14" s="58" t="inlineStr">
        <is>
          <t>→ =CUARTIL.INC($B$4:$Q$4;3)</t>
        </is>
      </c>
    </row>
    <row r="15">
      <c r="A15" s="32" t="inlineStr">
        <is>
          <t>IQR</t>
        </is>
      </c>
      <c r="B15" s="57">
        <f>_xlfn.QUARTILE.INC($B$4:$Q$4,3)-_xlfn.QUARTILE.INC($B$4:$Q$4,1)</f>
        <v/>
      </c>
      <c r="C15" s="58" t="inlineStr">
        <is>
          <t>→ =CUARTIL.INC($B$4:$Q$4;3)-CUARTIL.INC($B$4:$Q$4;1)</t>
        </is>
      </c>
    </row>
    <row r="16"/>
    <row r="17">
      <c r="A17" s="64" t="inlineStr">
        <is>
          <t>Con la tabla agrupada (aproximado)</t>
        </is>
      </c>
    </row>
    <row r="18">
      <c r="A18" s="65" t="inlineStr">
        <is>
          <t>L inf</t>
        </is>
      </c>
      <c r="B18" s="65" t="inlineStr">
        <is>
          <t>L sup</t>
        </is>
      </c>
      <c r="C18" s="65" t="inlineStr">
        <is>
          <t>nᵢ</t>
        </is>
      </c>
      <c r="D18" s="65" t="inlineStr">
        <is>
          <t>Marca xᵢ</t>
        </is>
      </c>
      <c r="E18" s="65" t="inlineStr">
        <is>
          <t>Amplitud aᵢ</t>
        </is>
      </c>
      <c r="F18" s="65" t="inlineStr">
        <is>
          <t>Densidad dᵢ</t>
        </is>
      </c>
      <c r="G18" s="65" t="inlineStr">
        <is>
          <t>xᵢ·nᵢ</t>
        </is>
      </c>
      <c r="H18" s="65" t="inlineStr">
        <is>
          <t>xᵢ²·nᵢ</t>
        </is>
      </c>
      <c r="I18" s="65" t="inlineStr">
        <is>
          <t>Nᵢ (acum.)</t>
        </is>
      </c>
    </row>
    <row r="19">
      <c r="A19" s="60" t="n">
        <v>160</v>
      </c>
      <c r="B19" s="60" t="n">
        <v>170</v>
      </c>
      <c r="C19" s="60" t="n">
        <v>3</v>
      </c>
      <c r="D19" s="66">
        <f>(A19+B19)/2</f>
        <v/>
      </c>
      <c r="E19" s="66">
        <f>B19-A19</f>
        <v/>
      </c>
      <c r="F19" s="66">
        <f>C19/E19</f>
        <v/>
      </c>
      <c r="G19" s="66">
        <f>D19*C19</f>
        <v/>
      </c>
      <c r="H19" s="66">
        <f>D19^2*C19</f>
        <v/>
      </c>
      <c r="I19" s="66">
        <f>C19</f>
        <v/>
      </c>
    </row>
    <row r="20">
      <c r="A20" s="60" t="n">
        <v>170</v>
      </c>
      <c r="B20" s="60" t="n">
        <v>180</v>
      </c>
      <c r="C20" s="60" t="n">
        <v>6</v>
      </c>
      <c r="D20" s="66">
        <f>(A20+B20)/2</f>
        <v/>
      </c>
      <c r="E20" s="66">
        <f>B20-A20</f>
        <v/>
      </c>
      <c r="F20" s="66">
        <f>C20/E20</f>
        <v/>
      </c>
      <c r="G20" s="66">
        <f>D20*C20</f>
        <v/>
      </c>
      <c r="H20" s="66">
        <f>D20^2*C20</f>
        <v/>
      </c>
      <c r="I20" s="66">
        <f>I19+C20</f>
        <v/>
      </c>
    </row>
    <row r="21">
      <c r="A21" s="60" t="n">
        <v>180</v>
      </c>
      <c r="B21" s="60" t="n">
        <v>190</v>
      </c>
      <c r="C21" s="60" t="n">
        <v>5</v>
      </c>
      <c r="D21" s="66">
        <f>(A21+B21)/2</f>
        <v/>
      </c>
      <c r="E21" s="66">
        <f>B21-A21</f>
        <v/>
      </c>
      <c r="F21" s="66">
        <f>C21/E21</f>
        <v/>
      </c>
      <c r="G21" s="66">
        <f>D21*C21</f>
        <v/>
      </c>
      <c r="H21" s="66">
        <f>D21^2*C21</f>
        <v/>
      </c>
      <c r="I21" s="66">
        <f>I20+C21</f>
        <v/>
      </c>
    </row>
    <row r="22">
      <c r="A22" s="60" t="n">
        <v>190</v>
      </c>
      <c r="B22" s="60" t="n">
        <v>200</v>
      </c>
      <c r="C22" s="60" t="n">
        <v>2</v>
      </c>
      <c r="D22" s="66">
        <f>(A22+B22)/2</f>
        <v/>
      </c>
      <c r="E22" s="66">
        <f>B22-A22</f>
        <v/>
      </c>
      <c r="F22" s="66">
        <f>C22/E22</f>
        <v/>
      </c>
      <c r="G22" s="66">
        <f>D22*C22</f>
        <v/>
      </c>
      <c r="H22" s="66">
        <f>D22^2*C22</f>
        <v/>
      </c>
      <c r="I22" s="66">
        <f>I21+C22</f>
        <v/>
      </c>
    </row>
    <row r="23">
      <c r="A23" s="32" t="inlineStr">
        <is>
          <t>Total</t>
        </is>
      </c>
      <c r="C23" s="67">
        <f>SUM(C19:C22)</f>
        <v/>
      </c>
      <c r="G23" s="67">
        <f>SUM(G19:G22)</f>
        <v/>
      </c>
      <c r="H23" s="67">
        <f>SUM(H19:H22)</f>
        <v/>
      </c>
    </row>
    <row r="24"/>
    <row r="25">
      <c r="A25" s="32" t="inlineStr">
        <is>
          <t>Media</t>
        </is>
      </c>
      <c r="B25" s="57">
        <f>G23/C23</f>
        <v/>
      </c>
      <c r="C25" s="58" t="inlineStr">
        <is>
          <t>→ =G23/C23</t>
        </is>
      </c>
    </row>
    <row r="26">
      <c r="A26" s="32" t="inlineStr">
        <is>
          <t>Varianza S²</t>
        </is>
      </c>
      <c r="B26" s="57">
        <f>H23/C23-B25^2</f>
        <v/>
      </c>
      <c r="C26" s="58" t="inlineStr">
        <is>
          <t>→ =H23/C23-B25^2</t>
        </is>
      </c>
    </row>
    <row r="27">
      <c r="A27" s="32" t="inlineStr">
        <is>
          <t>Desviación típica S</t>
        </is>
      </c>
      <c r="B27" s="57">
        <f>SQRT(B26)</f>
        <v/>
      </c>
      <c r="C27" s="58" t="inlineStr">
        <is>
          <t>→ =RAIZ(B26)</t>
        </is>
      </c>
    </row>
    <row r="28">
      <c r="A28" s="32" t="inlineStr">
        <is>
          <t>Coef. de variación CV</t>
        </is>
      </c>
      <c r="B28" s="57">
        <f>B27/B25</f>
        <v/>
      </c>
      <c r="C28" s="58" t="inlineStr">
        <is>
          <t>→ =B27/B25</t>
        </is>
      </c>
    </row>
    <row r="29">
      <c r="A29" s="32" t="inlineStr">
        <is>
          <t>Moda (intervalos)</t>
        </is>
      </c>
      <c r="B29" s="57">
        <f>A20+(F20-F19)/((F20-F19)+(F20-F21))*E20</f>
        <v/>
      </c>
      <c r="C29" s="58" t="inlineStr">
        <is>
          <t>→ =A20+(F20-F19)/((F20-F19)+(F20-F21))*E20</t>
        </is>
      </c>
      <c r="F29" s="55" t="inlineStr">
        <is>
          <t>Intervalo modal: fila 20 (mayor densidad)</t>
        </is>
      </c>
    </row>
    <row r="30">
      <c r="A30" s="32" t="inlineStr">
        <is>
          <t>Mediana</t>
        </is>
      </c>
      <c r="B30" s="57">
        <f>A20+(0.5*C23-I19)/C20*E20</f>
        <v/>
      </c>
      <c r="C30" s="58" t="inlineStr">
        <is>
          <t>→ =A20+(0,5*C23-I19)/C20*E20</t>
        </is>
      </c>
      <c r="F30" s="55" t="inlineStr">
        <is>
          <t>Intervalo de la fila 20</t>
        </is>
      </c>
    </row>
    <row r="31">
      <c r="A31" s="32" t="inlineStr">
        <is>
          <t>C₁</t>
        </is>
      </c>
      <c r="B31" s="57">
        <f>A20+(0.25*C23-I19)/C20*E20</f>
        <v/>
      </c>
      <c r="C31" s="58" t="inlineStr">
        <is>
          <t>→ =A20+(0,25*C23-I19)/C20*E20</t>
        </is>
      </c>
      <c r="F31" s="55" t="inlineStr">
        <is>
          <t>Intervalo de la fila 20</t>
        </is>
      </c>
    </row>
    <row r="32">
      <c r="A32" s="32" t="inlineStr">
        <is>
          <t>C₃</t>
        </is>
      </c>
      <c r="B32" s="57">
        <f>A21+(0.75*C23-I20)/C21*E21</f>
        <v/>
      </c>
      <c r="C32" s="58" t="inlineStr">
        <is>
          <t>→ =A21+(0,75*C23-I20)/C21*E21</t>
        </is>
      </c>
      <c r="F32" s="55" t="inlineStr">
        <is>
          <t>Intervalo de la fila 21</t>
        </is>
      </c>
    </row>
    <row r="33">
      <c r="A33" s="32" t="inlineStr">
        <is>
          <t>P₇₀</t>
        </is>
      </c>
      <c r="B33" s="57">
        <f>A21+(0.7*C23-I20)/C21*E21</f>
        <v/>
      </c>
      <c r="C33" s="58" t="inlineStr">
        <is>
          <t>→ =A21+(0,7*C23-I20)/C21*E21</t>
        </is>
      </c>
      <c r="F33" s="55" t="inlineStr">
        <is>
          <t>Intervalo de la fila 21</t>
        </is>
      </c>
    </row>
  </sheetData>
  <hyperlinks>
    <hyperlink ref="I1" location="'Inicio'!A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57"/>
  <sheetViews>
    <sheetView tabSelected="0" zoomScale="11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54" t="inlineStr">
        <is>
          <t>Tema 1 · Media ponderada, media truncada, transformaciones, CV, subpoblaciones</t>
        </is>
      </c>
      <c r="I1" s="20" t="inlineStr">
        <is>
          <t>← Volver al inicio</t>
        </is>
      </c>
    </row>
    <row r="2"/>
    <row r="3">
      <c r="A3" s="64" t="inlineStr">
        <is>
          <t>Media ponderada (salario medio por categoría)</t>
        </is>
      </c>
    </row>
    <row r="4">
      <c r="A4" s="65" t="inlineStr">
        <is>
          <t>Categoría</t>
        </is>
      </c>
      <c r="B4" s="65" t="inlineStr">
        <is>
          <t>Salario medio</t>
        </is>
      </c>
      <c r="C4" s="65" t="inlineStr">
        <is>
          <t>Tamaño T</t>
        </is>
      </c>
    </row>
    <row r="5">
      <c r="A5" s="61" t="inlineStr">
        <is>
          <t>Administrativos</t>
        </is>
      </c>
      <c r="B5" s="60" t="n">
        <v>1900</v>
      </c>
      <c r="C5" s="60" t="n">
        <v>450</v>
      </c>
    </row>
    <row r="6">
      <c r="A6" s="61" t="inlineStr">
        <is>
          <t>Técnicos</t>
        </is>
      </c>
      <c r="B6" s="60" t="n">
        <v>2300</v>
      </c>
      <c r="C6" s="60" t="n">
        <v>328</v>
      </c>
    </row>
    <row r="7">
      <c r="A7" s="61" t="inlineStr">
        <is>
          <t>Jefes de sección</t>
        </is>
      </c>
      <c r="B7" s="60" t="n">
        <v>2580</v>
      </c>
      <c r="C7" s="60" t="n">
        <v>45</v>
      </c>
    </row>
    <row r="8">
      <c r="A8" s="61" t="inlineStr">
        <is>
          <t>Altos cargos</t>
        </is>
      </c>
      <c r="B8" s="60" t="n">
        <v>4000</v>
      </c>
      <c r="C8" s="60" t="n">
        <v>3</v>
      </c>
    </row>
    <row r="9">
      <c r="A9" s="32" t="inlineStr">
        <is>
          <t>Media BIEN (ponderada)</t>
        </is>
      </c>
      <c r="B9" s="68">
        <f>SUMPRODUCT(B5:B8,C5:C8)/SUM(C5:C8)</f>
        <v/>
      </c>
      <c r="C9" s="58" t="inlineStr">
        <is>
          <t>→ =SUMAPRODUCTO(B5:B8;C5:C8)/SUMA(C5:C8)</t>
        </is>
      </c>
    </row>
    <row r="10">
      <c r="A10" s="32" t="inlineStr">
        <is>
          <t>Media MAL (sin ponderar)</t>
        </is>
      </c>
      <c r="B10" s="68">
        <f>AVERAGE(B5:B8)</f>
        <v/>
      </c>
      <c r="C10" s="58" t="inlineStr">
        <is>
          <t>→ =PROMEDIO(B5:B8)</t>
        </is>
      </c>
      <c r="F10" s="55" t="inlineStr">
        <is>
          <t>¡Error típico! No usar.</t>
        </is>
      </c>
    </row>
    <row r="11"/>
    <row r="12">
      <c r="A12" s="64" t="inlineStr">
        <is>
          <t>Media truncada al 10 %</t>
        </is>
      </c>
    </row>
    <row r="13">
      <c r="A13" s="65" t="inlineStr">
        <is>
          <t>Salario (miles)</t>
        </is>
      </c>
    </row>
    <row r="14">
      <c r="A14" s="60" t="n">
        <v>20</v>
      </c>
    </row>
    <row r="15">
      <c r="A15" s="60" t="n">
        <v>22</v>
      </c>
    </row>
    <row r="16">
      <c r="A16" s="60" t="n">
        <v>23</v>
      </c>
    </row>
    <row r="17">
      <c r="A17" s="60" t="n">
        <v>24</v>
      </c>
    </row>
    <row r="18">
      <c r="A18" s="60" t="n">
        <v>25</v>
      </c>
    </row>
    <row r="19">
      <c r="A19" s="60" t="n">
        <v>26</v>
      </c>
    </row>
    <row r="20">
      <c r="A20" s="60" t="n">
        <v>27</v>
      </c>
    </row>
    <row r="21">
      <c r="A21" s="60" t="n">
        <v>28</v>
      </c>
    </row>
    <row r="22">
      <c r="A22" s="60" t="n">
        <v>35</v>
      </c>
    </row>
    <row r="23">
      <c r="A23" s="60" t="n">
        <v>50</v>
      </c>
    </row>
    <row r="24">
      <c r="A24" s="32" t="inlineStr">
        <is>
          <t>Media normal</t>
        </is>
      </c>
      <c r="B24" s="57">
        <f>AVERAGE(A14:A23)</f>
        <v/>
      </c>
      <c r="C24" s="58" t="inlineStr">
        <is>
          <t>→ =PROMEDIO(A14:A23)</t>
        </is>
      </c>
    </row>
    <row r="25">
      <c r="A25" s="32" t="inlineStr">
        <is>
          <t>Media truncada 10 %</t>
        </is>
      </c>
      <c r="B25" s="57">
        <f>TRIMMEAN(A14:A23,0.2)</f>
        <v/>
      </c>
      <c r="C25" s="58" t="inlineStr">
        <is>
          <t>→ =MEDIA.ACOTADA(A14:A23;0,2)</t>
        </is>
      </c>
      <c r="F25" s="55" t="inlineStr">
        <is>
          <t>0,2 = 10 % por abajo + 10 % por arriba</t>
        </is>
      </c>
    </row>
    <row r="26"/>
    <row r="27">
      <c r="A27" s="64" t="inlineStr">
        <is>
          <t>Cambios de origen y escala</t>
        </is>
      </c>
    </row>
    <row r="28">
      <c r="A28" s="65" t="inlineStr">
        <is>
          <t>Salario X</t>
        </is>
      </c>
      <c r="B28" s="65" t="inlineStr">
        <is>
          <t>X + 200</t>
        </is>
      </c>
      <c r="C28" s="65" t="inlineStr">
        <is>
          <t>1,03·X</t>
        </is>
      </c>
      <c r="D28" s="65" t="inlineStr">
        <is>
          <t>1,03·X + 200</t>
        </is>
      </c>
    </row>
    <row r="29">
      <c r="A29" s="60" t="n">
        <v>1500</v>
      </c>
      <c r="B29" s="66">
        <f>A29+200</f>
        <v/>
      </c>
      <c r="C29" s="66">
        <f>1.03*A29</f>
        <v/>
      </c>
      <c r="D29" s="66">
        <f>1.03*A29+200</f>
        <v/>
      </c>
    </row>
    <row r="30">
      <c r="A30" s="60" t="n">
        <v>3900</v>
      </c>
      <c r="B30" s="66">
        <f>A30+200</f>
        <v/>
      </c>
      <c r="C30" s="66">
        <f>1.03*A30</f>
        <v/>
      </c>
      <c r="D30" s="66">
        <f>1.03*A30+200</f>
        <v/>
      </c>
    </row>
    <row r="31">
      <c r="A31" s="60" t="n">
        <v>980</v>
      </c>
      <c r="B31" s="66">
        <f>A31+200</f>
        <v/>
      </c>
      <c r="C31" s="66">
        <f>1.03*A31</f>
        <v/>
      </c>
      <c r="D31" s="66">
        <f>1.03*A31+200</f>
        <v/>
      </c>
    </row>
    <row r="32">
      <c r="A32" s="60" t="n">
        <v>2000</v>
      </c>
      <c r="B32" s="66">
        <f>A32+200</f>
        <v/>
      </c>
      <c r="C32" s="66">
        <f>1.03*A32</f>
        <v/>
      </c>
      <c r="D32" s="66">
        <f>1.03*A32+200</f>
        <v/>
      </c>
    </row>
    <row r="33">
      <c r="A33" s="60" t="n">
        <v>3650</v>
      </c>
      <c r="B33" s="66">
        <f>A33+200</f>
        <v/>
      </c>
      <c r="C33" s="66">
        <f>1.03*A33</f>
        <v/>
      </c>
      <c r="D33" s="66">
        <f>1.03*A33+200</f>
        <v/>
      </c>
    </row>
    <row r="34">
      <c r="A34" s="69">
        <f>AVERAGE(A29:A33)</f>
        <v/>
      </c>
      <c r="B34" s="69">
        <f>AVERAGE(B29:B33)</f>
        <v/>
      </c>
      <c r="C34" s="69">
        <f>AVERAGE(C29:C33)</f>
        <v/>
      </c>
      <c r="D34" s="69">
        <f>AVERAGE(D29:D33)</f>
        <v/>
      </c>
      <c r="F34" s="55" t="inlineStr">
        <is>
          <t>← medias: 2406 · 2606 · 2478,18 · 2678,18</t>
        </is>
      </c>
    </row>
    <row r="35"/>
    <row r="36">
      <c r="A36" s="64" t="inlineStr">
        <is>
          <t>Coeficiente de variación: sector energético vs creativo</t>
        </is>
      </c>
    </row>
    <row r="37">
      <c r="A37" s="65" t="inlineStr">
        <is>
          <t>Energético</t>
        </is>
      </c>
      <c r="B37" s="65" t="inlineStr">
        <is>
          <t>Creativo</t>
        </is>
      </c>
    </row>
    <row r="38">
      <c r="A38" s="60" t="n">
        <v>500</v>
      </c>
      <c r="B38" s="60" t="n">
        <v>1</v>
      </c>
    </row>
    <row r="39">
      <c r="A39" s="60" t="n">
        <v>550</v>
      </c>
      <c r="B39" s="60" t="n">
        <v>4</v>
      </c>
    </row>
    <row r="40">
      <c r="A40" s="60" t="n">
        <v>600</v>
      </c>
      <c r="B40" s="60" t="n">
        <v>8</v>
      </c>
    </row>
    <row r="41">
      <c r="A41" s="32" t="inlineStr">
        <is>
          <t>CV energético</t>
        </is>
      </c>
      <c r="B41" s="57">
        <f>_xlfn.STDEV.P(A38:A40)/AVERAGE(A38:A40)</f>
        <v/>
      </c>
      <c r="C41" s="58" t="inlineStr">
        <is>
          <t>→ =DESVEST.P(A38:A40)/PROMEDIO(A38:A40)</t>
        </is>
      </c>
    </row>
    <row r="42">
      <c r="A42" s="32" t="inlineStr">
        <is>
          <t>CV creativo</t>
        </is>
      </c>
      <c r="B42" s="57">
        <f>_xlfn.STDEV.P(B38:B40)/AVERAGE(B38:B40)</f>
        <v/>
      </c>
      <c r="C42" s="58" t="inlineStr">
        <is>
          <t>→ =DESVEST.P(B38:B40)/PROMEDIO(B38:B40)</t>
        </is>
      </c>
      <c r="F42" s="55" t="inlineStr">
        <is>
          <t>Mucha más dispersión relativa en el creativo</t>
        </is>
      </c>
    </row>
    <row r="43"/>
    <row r="44">
      <c r="A44" s="64" t="inlineStr">
        <is>
          <t>Varianza en subpoblaciones (ejemplo A, B, C)</t>
        </is>
      </c>
    </row>
    <row r="45">
      <c r="A45" s="65" t="inlineStr">
        <is>
          <t>Grupo</t>
        </is>
      </c>
      <c r="B45" s="65" t="inlineStr">
        <is>
          <t>Tamaño</t>
        </is>
      </c>
      <c r="C45" s="65" t="inlineStr">
        <is>
          <t>Media</t>
        </is>
      </c>
      <c r="D45" s="65" t="inlineStr">
        <is>
          <t>Varianza</t>
        </is>
      </c>
      <c r="E45" s="65" t="inlineStr">
        <is>
          <t>(media−global)²·T</t>
        </is>
      </c>
    </row>
    <row r="46">
      <c r="A46" s="61" t="inlineStr">
        <is>
          <t>A</t>
        </is>
      </c>
      <c r="B46" s="60" t="n">
        <v>150</v>
      </c>
      <c r="C46" s="60" t="n">
        <v>10</v>
      </c>
      <c r="D46" s="60" t="n">
        <v>10</v>
      </c>
      <c r="E46" s="61">
        <f>(C46-$B$49)^2*B46</f>
        <v/>
      </c>
    </row>
    <row r="47">
      <c r="A47" s="61" t="inlineStr">
        <is>
          <t>B</t>
        </is>
      </c>
      <c r="B47" s="60" t="n">
        <v>200</v>
      </c>
      <c r="C47" s="60" t="n">
        <v>10</v>
      </c>
      <c r="D47" s="60" t="n">
        <v>25</v>
      </c>
      <c r="E47" s="61">
        <f>(C47-$B$49)^2*B47</f>
        <v/>
      </c>
    </row>
    <row r="48">
      <c r="A48" s="61" t="inlineStr">
        <is>
          <t>C</t>
        </is>
      </c>
      <c r="B48" s="60" t="n">
        <v>150</v>
      </c>
      <c r="C48" s="60" t="n">
        <v>12</v>
      </c>
      <c r="D48" s="60" t="n">
        <v>16</v>
      </c>
      <c r="E48" s="61">
        <f>(C48-$B$49)^2*B48</f>
        <v/>
      </c>
    </row>
    <row r="49">
      <c r="A49" s="32" t="inlineStr">
        <is>
          <t>Media global</t>
        </is>
      </c>
      <c r="B49" s="57">
        <f>SUMPRODUCT(B46:B48,C46:C48)/SUM(B46:B48)</f>
        <v/>
      </c>
      <c r="C49" s="58" t="inlineStr">
        <is>
          <t>→ =SUMAPRODUCTO(B46:B48;C46:C48)/SUMA(B46:B48)</t>
        </is>
      </c>
    </row>
    <row r="50">
      <c r="A50" s="32" t="inlineStr">
        <is>
          <t>Varianza dentro</t>
        </is>
      </c>
      <c r="B50" s="57">
        <f>SUMPRODUCT(B46:B48,D46:D48)/SUM(B46:B48)</f>
        <v/>
      </c>
      <c r="C50" s="58" t="inlineStr">
        <is>
          <t>→ =SUMAPRODUCTO(B46:B48;D46:D48)/SUMA(B46:B48)</t>
        </is>
      </c>
    </row>
    <row r="51">
      <c r="A51" s="32" t="inlineStr">
        <is>
          <t>Varianza entre</t>
        </is>
      </c>
      <c r="B51" s="57">
        <f>SUM(E46:E48)/SUM(B46:B48)</f>
        <v/>
      </c>
      <c r="C51" s="58" t="inlineStr">
        <is>
          <t>→ =SUMA(E46:E48)/SUMA(B46:B48)</t>
        </is>
      </c>
    </row>
    <row r="52">
      <c r="A52" s="32" t="inlineStr">
        <is>
          <t>Varianza total</t>
        </is>
      </c>
      <c r="B52" s="57">
        <f>B50+B51</f>
        <v/>
      </c>
      <c r="C52" s="58" t="inlineStr">
        <is>
          <t>→ =B50+B51</t>
        </is>
      </c>
    </row>
    <row r="53">
      <c r="A53" s="32" t="inlineStr">
        <is>
          <t>% entre grupos</t>
        </is>
      </c>
      <c r="B53" s="70">
        <f>B51/B52</f>
        <v/>
      </c>
      <c r="C53" s="58" t="inlineStr">
        <is>
          <t>→ =B51/B52</t>
        </is>
      </c>
    </row>
    <row r="54"/>
    <row r="55">
      <c r="A55" s="64" t="inlineStr">
        <is>
          <t>Tipificar (dos exámenes)</t>
        </is>
      </c>
    </row>
    <row r="56">
      <c r="A56" s="32" t="inlineStr">
        <is>
          <t>z examen 1</t>
        </is>
      </c>
      <c r="B56" s="57">
        <f>STANDARDIZE(6,7,2)</f>
        <v/>
      </c>
      <c r="C56" s="58" t="inlineStr">
        <is>
          <t>→ =NORMALIZACION(6;7;2)</t>
        </is>
      </c>
    </row>
    <row r="57">
      <c r="A57" s="32" t="inlineStr">
        <is>
          <t>z examen 2</t>
        </is>
      </c>
      <c r="B57" s="57">
        <f>STANDARDIZE(5,4.5,1)</f>
        <v/>
      </c>
      <c r="C57" s="58" t="inlineStr">
        <is>
          <t>→ =NORMALIZACION(5;4,5;1)</t>
        </is>
      </c>
      <c r="F57" s="55" t="inlineStr">
        <is>
          <t>Mejor posición relativa en el segundo</t>
        </is>
      </c>
    </row>
  </sheetData>
  <hyperlinks>
    <hyperlink ref="I1" location="'Inicio'!A1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3"/>
  <sheetViews>
    <sheetView tabSelected="0" zoomScale="11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54" t="inlineStr">
        <is>
          <t>Tema 1 · Ejercicio de los apuntes: cuartiles y P30, P70</t>
        </is>
      </c>
      <c r="I1" s="20" t="inlineStr">
        <is>
          <t>← Volver al inicio</t>
        </is>
      </c>
    </row>
    <row r="2"/>
    <row r="3">
      <c r="A3" s="65" t="inlineStr">
        <is>
          <t>L inf</t>
        </is>
      </c>
      <c r="B3" s="65" t="inlineStr">
        <is>
          <t>L sup</t>
        </is>
      </c>
      <c r="C3" s="65" t="inlineStr">
        <is>
          <t>nᵢ</t>
        </is>
      </c>
      <c r="D3" s="65" t="inlineStr">
        <is>
          <t>Marca xᵢ</t>
        </is>
      </c>
      <c r="E3" s="65" t="inlineStr">
        <is>
          <t>Amplitud aᵢ</t>
        </is>
      </c>
      <c r="F3" s="65" t="inlineStr">
        <is>
          <t>Densidad dᵢ</t>
        </is>
      </c>
      <c r="G3" s="65" t="inlineStr">
        <is>
          <t>xᵢ·nᵢ</t>
        </is>
      </c>
      <c r="H3" s="65" t="inlineStr">
        <is>
          <t>xᵢ²·nᵢ</t>
        </is>
      </c>
      <c r="I3" s="65" t="inlineStr">
        <is>
          <t>Nᵢ (acum.)</t>
        </is>
      </c>
    </row>
    <row r="4">
      <c r="A4" s="60" t="n">
        <v>10</v>
      </c>
      <c r="B4" s="60" t="n">
        <v>13</v>
      </c>
      <c r="C4" s="60" t="n">
        <v>15</v>
      </c>
      <c r="D4" s="66">
        <f>(A4+B4)/2</f>
        <v/>
      </c>
      <c r="E4" s="66">
        <f>B4-A4</f>
        <v/>
      </c>
      <c r="F4" s="66">
        <f>C4/E4</f>
        <v/>
      </c>
      <c r="G4" s="66">
        <f>D4*C4</f>
        <v/>
      </c>
      <c r="H4" s="66">
        <f>D4^2*C4</f>
        <v/>
      </c>
      <c r="I4" s="66">
        <f>C4</f>
        <v/>
      </c>
    </row>
    <row r="5">
      <c r="A5" s="60" t="n">
        <v>13</v>
      </c>
      <c r="B5" s="60" t="n">
        <v>18</v>
      </c>
      <c r="C5" s="60" t="n">
        <v>29</v>
      </c>
      <c r="D5" s="66">
        <f>(A5+B5)/2</f>
        <v/>
      </c>
      <c r="E5" s="66">
        <f>B5-A5</f>
        <v/>
      </c>
      <c r="F5" s="66">
        <f>C5/E5</f>
        <v/>
      </c>
      <c r="G5" s="66">
        <f>D5*C5</f>
        <v/>
      </c>
      <c r="H5" s="66">
        <f>D5^2*C5</f>
        <v/>
      </c>
      <c r="I5" s="66">
        <f>I4+C5</f>
        <v/>
      </c>
    </row>
    <row r="6">
      <c r="A6" s="60" t="n">
        <v>18</v>
      </c>
      <c r="B6" s="60" t="n">
        <v>25</v>
      </c>
      <c r="C6" s="60" t="n">
        <v>56</v>
      </c>
      <c r="D6" s="66">
        <f>(A6+B6)/2</f>
        <v/>
      </c>
      <c r="E6" s="66">
        <f>B6-A6</f>
        <v/>
      </c>
      <c r="F6" s="66">
        <f>C6/E6</f>
        <v/>
      </c>
      <c r="G6" s="66">
        <f>D6*C6</f>
        <v/>
      </c>
      <c r="H6" s="66">
        <f>D6^2*C6</f>
        <v/>
      </c>
      <c r="I6" s="66">
        <f>I5+C6</f>
        <v/>
      </c>
    </row>
    <row r="7">
      <c r="A7" s="32" t="inlineStr">
        <is>
          <t>Total</t>
        </is>
      </c>
      <c r="C7" s="67">
        <f>SUM(C4:C6)</f>
        <v/>
      </c>
      <c r="G7" s="67">
        <f>SUM(G4:G6)</f>
        <v/>
      </c>
      <c r="H7" s="67">
        <f>SUM(H4:H6)</f>
        <v/>
      </c>
    </row>
    <row r="8"/>
    <row r="9">
      <c r="A9" s="32" t="inlineStr">
        <is>
          <t>C₁</t>
        </is>
      </c>
      <c r="B9" s="57">
        <f>A5+(0.25*C7-I4)/C5*E5</f>
        <v/>
      </c>
      <c r="C9" s="58" t="inlineStr">
        <is>
          <t>→ =A5+(0,25*C7-I4)/C5*E5</t>
        </is>
      </c>
      <c r="F9" s="55" t="inlineStr">
        <is>
          <t>Intervalo de la fila 5</t>
        </is>
      </c>
    </row>
    <row r="10">
      <c r="A10" s="32" t="inlineStr">
        <is>
          <t>C₂ (mediana)</t>
        </is>
      </c>
      <c r="B10" s="57">
        <f>A6+(0.5*C7-I5)/C6*E6</f>
        <v/>
      </c>
      <c r="C10" s="58" t="inlineStr">
        <is>
          <t>→ =A6+(0,5*C7-I5)/C6*E6</t>
        </is>
      </c>
      <c r="F10" s="55" t="inlineStr">
        <is>
          <t>Intervalo de la fila 6</t>
        </is>
      </c>
    </row>
    <row r="11">
      <c r="A11" s="32" t="inlineStr">
        <is>
          <t>C₃</t>
        </is>
      </c>
      <c r="B11" s="57">
        <f>A6+(0.75*C7-I5)/C6*E6</f>
        <v/>
      </c>
      <c r="C11" s="58" t="inlineStr">
        <is>
          <t>→ =A6+(0,75*C7-I5)/C6*E6</t>
        </is>
      </c>
      <c r="F11" s="55" t="inlineStr">
        <is>
          <t>Intervalo de la fila 6</t>
        </is>
      </c>
    </row>
    <row r="12">
      <c r="A12" s="32" t="inlineStr">
        <is>
          <t>P₃₀</t>
        </is>
      </c>
      <c r="B12" s="57">
        <f>A5+(0.3*C7-I4)/C5*E5</f>
        <v/>
      </c>
      <c r="C12" s="58" t="inlineStr">
        <is>
          <t>→ =A5+(0,3*C7-I4)/C5*E5</t>
        </is>
      </c>
      <c r="F12" s="55" t="inlineStr">
        <is>
          <t>Intervalo de la fila 5</t>
        </is>
      </c>
    </row>
    <row r="13">
      <c r="A13" s="32" t="inlineStr">
        <is>
          <t>P₇₀</t>
        </is>
      </c>
      <c r="B13" s="57">
        <f>A6+(0.7*C7-I5)/C6*E6</f>
        <v/>
      </c>
      <c r="C13" s="58" t="inlineStr">
        <is>
          <t>→ =A6+(0,7*C7-I5)/C6*E6</t>
        </is>
      </c>
      <c r="F13" s="55" t="inlineStr">
        <is>
          <t>Intervalo de la fila 6</t>
        </is>
      </c>
    </row>
  </sheetData>
  <hyperlinks>
    <hyperlink ref="I1" location="'Inicio'!A1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53"/>
  <sheetViews>
    <sheetView tabSelected="0" zoomScale="11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54" t="inlineStr">
        <is>
          <t>Tema 2 · Departamento y modalidad (dependientes) / Sexo y contrato (independientes)</t>
        </is>
      </c>
      <c r="I1" s="20" t="inlineStr">
        <is>
          <t>← Volver al inicio</t>
        </is>
      </c>
    </row>
    <row r="2"/>
    <row r="3">
      <c r="A3" s="64" t="inlineStr">
        <is>
          <t>Ejemplo 1 · Departamento × Modalidad</t>
        </is>
      </c>
    </row>
    <row r="4">
      <c r="A4" s="65" t="inlineStr"/>
      <c r="B4" s="65" t="inlineStr">
        <is>
          <t>Presencial</t>
        </is>
      </c>
      <c r="C4" s="65" t="inlineStr">
        <is>
          <t>Híbrido</t>
        </is>
      </c>
      <c r="D4" s="65" t="inlineStr">
        <is>
          <t>Remoto</t>
        </is>
      </c>
      <c r="E4" s="65" t="inlineStr">
        <is>
          <t>Total</t>
        </is>
      </c>
    </row>
    <row r="5">
      <c r="A5" s="61" t="inlineStr">
        <is>
          <t>RRHH</t>
        </is>
      </c>
      <c r="B5" s="60" t="n">
        <v>8</v>
      </c>
      <c r="C5" s="60" t="n">
        <v>3</v>
      </c>
      <c r="D5" s="60" t="n">
        <v>2</v>
      </c>
      <c r="E5" s="61">
        <f>SUM(B5:D5)</f>
        <v/>
      </c>
    </row>
    <row r="6">
      <c r="A6" s="61" t="inlineStr">
        <is>
          <t>Finanzas</t>
        </is>
      </c>
      <c r="B6" s="60" t="n">
        <v>5</v>
      </c>
      <c r="C6" s="60" t="n">
        <v>4</v>
      </c>
      <c r="D6" s="60" t="n">
        <v>1</v>
      </c>
      <c r="E6" s="61">
        <f>SUM(B6:D6)</f>
        <v/>
      </c>
    </row>
    <row r="7">
      <c r="A7" s="61" t="inlineStr">
        <is>
          <t>Producción</t>
        </is>
      </c>
      <c r="B7" s="60" t="n">
        <v>10</v>
      </c>
      <c r="C7" s="60" t="n">
        <v>6</v>
      </c>
      <c r="D7" s="60" t="n">
        <v>1</v>
      </c>
      <c r="E7" s="61">
        <f>SUM(B7:D7)</f>
        <v/>
      </c>
    </row>
    <row r="8">
      <c r="A8" s="32" t="inlineStr">
        <is>
          <t>Total</t>
        </is>
      </c>
      <c r="B8">
        <f>SUM(B5:B7)</f>
        <v/>
      </c>
      <c r="C8">
        <f>SUM(C5:C7)</f>
        <v/>
      </c>
      <c r="D8">
        <f>SUM(D5:D7)</f>
        <v/>
      </c>
      <c r="E8">
        <f>SUM(E5:E7)</f>
        <v/>
      </c>
    </row>
    <row r="9"/>
    <row r="10">
      <c r="A10" s="71" t="inlineStr">
        <is>
          <t>Frecuencias relativas conjuntas fᵢⱼ = nᵢⱼ / n</t>
        </is>
      </c>
    </row>
    <row r="11">
      <c r="A11" s="65" t="inlineStr"/>
      <c r="B11" s="65" t="inlineStr">
        <is>
          <t>Presencial</t>
        </is>
      </c>
      <c r="C11" s="65" t="inlineStr">
        <is>
          <t>Híbrido</t>
        </is>
      </c>
      <c r="D11" s="65" t="inlineStr">
        <is>
          <t>Remoto</t>
        </is>
      </c>
      <c r="E11" s="65" t="inlineStr">
        <is>
          <t>fᵢ.</t>
        </is>
      </c>
    </row>
    <row r="12">
      <c r="A12" s="61" t="inlineStr">
        <is>
          <t>RRHH</t>
        </is>
      </c>
      <c r="B12" s="66">
        <f>B5/$E$8</f>
        <v/>
      </c>
      <c r="C12" s="66">
        <f>C5/$E$8</f>
        <v/>
      </c>
      <c r="D12" s="66">
        <f>D5/$E$8</f>
        <v/>
      </c>
      <c r="E12" s="66">
        <f>E5/$E$8</f>
        <v/>
      </c>
    </row>
    <row r="13">
      <c r="A13" s="61" t="inlineStr">
        <is>
          <t>Finanzas</t>
        </is>
      </c>
      <c r="B13" s="66">
        <f>B6/$E$8</f>
        <v/>
      </c>
      <c r="C13" s="66">
        <f>C6/$E$8</f>
        <v/>
      </c>
      <c r="D13" s="66">
        <f>D6/$E$8</f>
        <v/>
      </c>
      <c r="E13" s="66">
        <f>E6/$E$8</f>
        <v/>
      </c>
    </row>
    <row r="14">
      <c r="A14" s="61" t="inlineStr">
        <is>
          <t>Producción</t>
        </is>
      </c>
      <c r="B14" s="66">
        <f>B7/$E$8</f>
        <v/>
      </c>
      <c r="C14" s="66">
        <f>C7/$E$8</f>
        <v/>
      </c>
      <c r="D14" s="66">
        <f>D7/$E$8</f>
        <v/>
      </c>
      <c r="E14" s="66">
        <f>E7/$E$8</f>
        <v/>
      </c>
    </row>
    <row r="15">
      <c r="A15" s="32" t="inlineStr">
        <is>
          <t>f.ⱼ</t>
        </is>
      </c>
      <c r="B15">
        <f>SUM(B12:B14)</f>
        <v/>
      </c>
      <c r="C15">
        <f>SUM(C12:C14)</f>
        <v/>
      </c>
      <c r="D15">
        <f>SUM(D12:D14)</f>
        <v/>
      </c>
      <c r="E15">
        <f>SUM(E12:E14)</f>
        <v/>
      </c>
    </row>
    <row r="16"/>
    <row r="17">
      <c r="A17" s="71" t="inlineStr">
        <is>
          <t>Si fueran independientes: fᵢ. × f.ⱼ  (compara casilla a casilla con la tabla de arriba)</t>
        </is>
      </c>
    </row>
    <row r="18">
      <c r="A18" s="65" t="inlineStr"/>
      <c r="B18" s="65" t="inlineStr">
        <is>
          <t>Presencial</t>
        </is>
      </c>
      <c r="C18" s="65" t="inlineStr">
        <is>
          <t>Híbrido</t>
        </is>
      </c>
      <c r="D18" s="65" t="inlineStr">
        <is>
          <t>Remoto</t>
        </is>
      </c>
    </row>
    <row r="19">
      <c r="A19" s="61" t="inlineStr">
        <is>
          <t>RRHH</t>
        </is>
      </c>
      <c r="B19" s="66">
        <f>$E12*B$15</f>
        <v/>
      </c>
      <c r="C19" s="66">
        <f>$E12*C$15</f>
        <v/>
      </c>
      <c r="D19" s="66">
        <f>$E12*D$15</f>
        <v/>
      </c>
    </row>
    <row r="20">
      <c r="A20" s="61" t="inlineStr">
        <is>
          <t>Finanzas</t>
        </is>
      </c>
      <c r="B20" s="66">
        <f>$E13*B$15</f>
        <v/>
      </c>
      <c r="C20" s="66">
        <f>$E13*C$15</f>
        <v/>
      </c>
      <c r="D20" s="66">
        <f>$E13*D$15</f>
        <v/>
      </c>
    </row>
    <row r="21">
      <c r="A21" s="61" t="inlineStr">
        <is>
          <t>Producción</t>
        </is>
      </c>
      <c r="B21" s="66">
        <f>$E14*B$15</f>
        <v/>
      </c>
      <c r="C21" s="66">
        <f>$E14*C$15</f>
        <v/>
      </c>
      <c r="D21" s="66">
        <f>$E14*D$15</f>
        <v/>
      </c>
    </row>
    <row r="22"/>
    <row r="23">
      <c r="A23" s="71" t="inlineStr">
        <is>
          <t>Distribuciones condicionadas por filas (% de cada fila)</t>
        </is>
      </c>
    </row>
    <row r="24">
      <c r="A24" s="65" t="inlineStr"/>
      <c r="B24" s="65" t="inlineStr">
        <is>
          <t>Presencial</t>
        </is>
      </c>
      <c r="C24" s="65" t="inlineStr">
        <is>
          <t>Híbrido</t>
        </is>
      </c>
      <c r="D24" s="65" t="inlineStr">
        <is>
          <t>Remoto</t>
        </is>
      </c>
    </row>
    <row r="25">
      <c r="A25" s="61" t="inlineStr">
        <is>
          <t>RRHH</t>
        </is>
      </c>
      <c r="B25" s="72">
        <f>B5/$E5</f>
        <v/>
      </c>
      <c r="C25" s="72">
        <f>C5/$E5</f>
        <v/>
      </c>
      <c r="D25" s="72">
        <f>D5/$E5</f>
        <v/>
      </c>
    </row>
    <row r="26">
      <c r="A26" s="61" t="inlineStr">
        <is>
          <t>Finanzas</t>
        </is>
      </c>
      <c r="B26" s="72">
        <f>B6/$E6</f>
        <v/>
      </c>
      <c r="C26" s="72">
        <f>C6/$E6</f>
        <v/>
      </c>
      <c r="D26" s="72">
        <f>D6/$E6</f>
        <v/>
      </c>
    </row>
    <row r="27">
      <c r="A27" s="61" t="inlineStr">
        <is>
          <t>Producción</t>
        </is>
      </c>
      <c r="B27" s="72">
        <f>B7/$E7</f>
        <v/>
      </c>
      <c r="C27" s="72">
        <f>C7/$E7</f>
        <v/>
      </c>
      <c r="D27" s="72">
        <f>D7/$E7</f>
        <v/>
      </c>
    </row>
    <row r="28"/>
    <row r="29">
      <c r="A29" s="71" t="inlineStr">
        <is>
          <t>Conclusión: 0,2000 ≠ 0,1869 en la primera casilla → NO independientes.</t>
        </is>
      </c>
    </row>
    <row r="30"/>
    <row r="31">
      <c r="A31" s="64" t="inlineStr">
        <is>
          <t>Ejemplo 7 · Sexo × Contrato</t>
        </is>
      </c>
    </row>
    <row r="32">
      <c r="A32" s="65" t="inlineStr"/>
      <c r="B32" s="65" t="inlineStr">
        <is>
          <t>Indefinido</t>
        </is>
      </c>
      <c r="C32" s="65" t="inlineStr">
        <is>
          <t>Temporal</t>
        </is>
      </c>
      <c r="D32" s="65" t="inlineStr">
        <is>
          <t>Parcial</t>
        </is>
      </c>
      <c r="E32" s="65" t="inlineStr">
        <is>
          <t>Total</t>
        </is>
      </c>
    </row>
    <row r="33">
      <c r="A33" s="61" t="inlineStr">
        <is>
          <t>Hombre</t>
        </is>
      </c>
      <c r="B33" s="60" t="n">
        <v>90</v>
      </c>
      <c r="C33" s="60" t="n">
        <v>60</v>
      </c>
      <c r="D33" s="60" t="n">
        <v>30</v>
      </c>
      <c r="E33" s="61">
        <f>SUM(B33:D33)</f>
        <v/>
      </c>
    </row>
    <row r="34">
      <c r="A34" s="61" t="inlineStr">
        <is>
          <t>Mujer</t>
        </is>
      </c>
      <c r="B34" s="60" t="n">
        <v>30</v>
      </c>
      <c r="C34" s="60" t="n">
        <v>20</v>
      </c>
      <c r="D34" s="60" t="n">
        <v>10</v>
      </c>
      <c r="E34" s="61">
        <f>SUM(B34:D34)</f>
        <v/>
      </c>
    </row>
    <row r="35">
      <c r="A35" s="32" t="inlineStr">
        <is>
          <t>Total</t>
        </is>
      </c>
      <c r="B35">
        <f>SUM(B33:B34)</f>
        <v/>
      </c>
      <c r="C35">
        <f>SUM(C33:C34)</f>
        <v/>
      </c>
      <c r="D35">
        <f>SUM(D33:D34)</f>
        <v/>
      </c>
      <c r="E35">
        <f>SUM(E33:E34)</f>
        <v/>
      </c>
    </row>
    <row r="36"/>
    <row r="37">
      <c r="A37" s="71" t="inlineStr">
        <is>
          <t>Frecuencias relativas conjuntas fᵢⱼ = nᵢⱼ / n</t>
        </is>
      </c>
    </row>
    <row r="38">
      <c r="A38" s="65" t="inlineStr"/>
      <c r="B38" s="65" t="inlineStr">
        <is>
          <t>Indefinido</t>
        </is>
      </c>
      <c r="C38" s="65" t="inlineStr">
        <is>
          <t>Temporal</t>
        </is>
      </c>
      <c r="D38" s="65" t="inlineStr">
        <is>
          <t>Parcial</t>
        </is>
      </c>
      <c r="E38" s="65" t="inlineStr">
        <is>
          <t>fᵢ.</t>
        </is>
      </c>
    </row>
    <row r="39">
      <c r="A39" s="61" t="inlineStr">
        <is>
          <t>Hombre</t>
        </is>
      </c>
      <c r="B39" s="66">
        <f>B33/$E$35</f>
        <v/>
      </c>
      <c r="C39" s="66">
        <f>C33/$E$35</f>
        <v/>
      </c>
      <c r="D39" s="66">
        <f>D33/$E$35</f>
        <v/>
      </c>
      <c r="E39" s="66">
        <f>E33/$E$35</f>
        <v/>
      </c>
    </row>
    <row r="40">
      <c r="A40" s="61" t="inlineStr">
        <is>
          <t>Mujer</t>
        </is>
      </c>
      <c r="B40" s="66">
        <f>B34/$E$35</f>
        <v/>
      </c>
      <c r="C40" s="66">
        <f>C34/$E$35</f>
        <v/>
      </c>
      <c r="D40" s="66">
        <f>D34/$E$35</f>
        <v/>
      </c>
      <c r="E40" s="66">
        <f>E34/$E$35</f>
        <v/>
      </c>
    </row>
    <row r="41">
      <c r="A41" s="32" t="inlineStr">
        <is>
          <t>f.ⱼ</t>
        </is>
      </c>
      <c r="B41">
        <f>SUM(B39:B40)</f>
        <v/>
      </c>
      <c r="C41">
        <f>SUM(C39:C40)</f>
        <v/>
      </c>
      <c r="D41">
        <f>SUM(D39:D40)</f>
        <v/>
      </c>
      <c r="E41">
        <f>SUM(E39:E40)</f>
        <v/>
      </c>
    </row>
    <row r="42"/>
    <row r="43">
      <c r="A43" s="71" t="inlineStr">
        <is>
          <t>Si fueran independientes: fᵢ. × f.ⱼ  (compara casilla a casilla con la tabla de arriba)</t>
        </is>
      </c>
    </row>
    <row r="44">
      <c r="A44" s="65" t="inlineStr"/>
      <c r="B44" s="65" t="inlineStr">
        <is>
          <t>Indefinido</t>
        </is>
      </c>
      <c r="C44" s="65" t="inlineStr">
        <is>
          <t>Temporal</t>
        </is>
      </c>
      <c r="D44" s="65" t="inlineStr">
        <is>
          <t>Parcial</t>
        </is>
      </c>
    </row>
    <row r="45">
      <c r="A45" s="61" t="inlineStr">
        <is>
          <t>Hombre</t>
        </is>
      </c>
      <c r="B45" s="66">
        <f>$E39*B$41</f>
        <v/>
      </c>
      <c r="C45" s="66">
        <f>$E39*C$41</f>
        <v/>
      </c>
      <c r="D45" s="66">
        <f>$E39*D$41</f>
        <v/>
      </c>
    </row>
    <row r="46">
      <c r="A46" s="61" t="inlineStr">
        <is>
          <t>Mujer</t>
        </is>
      </c>
      <c r="B46" s="66">
        <f>$E40*B$41</f>
        <v/>
      </c>
      <c r="C46" s="66">
        <f>$E40*C$41</f>
        <v/>
      </c>
      <c r="D46" s="66">
        <f>$E40*D$41</f>
        <v/>
      </c>
    </row>
    <row r="47"/>
    <row r="48">
      <c r="A48" s="71" t="inlineStr">
        <is>
          <t>Distribuciones condicionadas por filas (% de cada fila)</t>
        </is>
      </c>
    </row>
    <row r="49">
      <c r="A49" s="65" t="inlineStr"/>
      <c r="B49" s="65" t="inlineStr">
        <is>
          <t>Indefinido</t>
        </is>
      </c>
      <c r="C49" s="65" t="inlineStr">
        <is>
          <t>Temporal</t>
        </is>
      </c>
      <c r="D49" s="65" t="inlineStr">
        <is>
          <t>Parcial</t>
        </is>
      </c>
    </row>
    <row r="50">
      <c r="A50" s="61" t="inlineStr">
        <is>
          <t>Hombre</t>
        </is>
      </c>
      <c r="B50" s="72">
        <f>B33/$E33</f>
        <v/>
      </c>
      <c r="C50" s="72">
        <f>C33/$E33</f>
        <v/>
      </c>
      <c r="D50" s="72">
        <f>D33/$E33</f>
        <v/>
      </c>
    </row>
    <row r="51">
      <c r="A51" s="61" t="inlineStr">
        <is>
          <t>Mujer</t>
        </is>
      </c>
      <c r="B51" s="72">
        <f>B34/$E34</f>
        <v/>
      </c>
      <c r="C51" s="72">
        <f>C34/$E34</f>
        <v/>
      </c>
      <c r="D51" s="72">
        <f>D34/$E34</f>
        <v/>
      </c>
    </row>
    <row r="52"/>
    <row r="53">
      <c r="A53" s="71" t="inlineStr">
        <is>
          <t>Conclusión: las dos tablas coinciden en todas las casillas y los % por filas son iguales → independientes.</t>
        </is>
      </c>
    </row>
  </sheetData>
  <hyperlinks>
    <hyperlink ref="I1" location="'Inicio'!A1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7"/>
  <sheetViews>
    <sheetView tabSelected="0" zoomScale="11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54" t="inlineStr">
        <is>
          <t>Temas 1-2 · Ejercicio 1</t>
        </is>
      </c>
      <c r="I1" s="20" t="inlineStr">
        <is>
          <t>← Volver al inicio</t>
        </is>
      </c>
    </row>
    <row r="2">
      <c r="A2" s="55" t="inlineStr">
        <is>
          <t>Tres conjuntos con la misma media y distinta dispersión</t>
        </is>
      </c>
    </row>
    <row r="3"/>
    <row r="4">
      <c r="A4" s="65" t="inlineStr">
        <is>
          <t>Conjunto 1</t>
        </is>
      </c>
      <c r="B4" s="65" t="inlineStr">
        <is>
          <t>Conjunto 2</t>
        </is>
      </c>
      <c r="C4" s="65" t="inlineStr">
        <is>
          <t>Conjunto 3</t>
        </is>
      </c>
      <c r="D4" s="65" t="inlineStr">
        <is>
          <t>z (conjunto 1)</t>
        </is>
      </c>
    </row>
    <row r="5">
      <c r="A5" s="60" t="n">
        <v>1</v>
      </c>
      <c r="B5" s="60" t="n">
        <v>1</v>
      </c>
      <c r="C5" s="60" t="n">
        <v>-13</v>
      </c>
      <c r="D5" s="66">
        <f>STANDARDIZE(A5,AVERAGE($A$5:$A$10),_xlfn.STDEV.P($A$5:$A$10))</f>
        <v/>
      </c>
    </row>
    <row r="6">
      <c r="A6" s="60" t="n">
        <v>2</v>
      </c>
      <c r="B6" s="60" t="n">
        <v>1</v>
      </c>
      <c r="C6" s="60" t="n">
        <v>2</v>
      </c>
      <c r="D6" s="66">
        <f>STANDARDIZE(A6,AVERAGE($A$5:$A$10),_xlfn.STDEV.P($A$5:$A$10))</f>
        <v/>
      </c>
    </row>
    <row r="7">
      <c r="A7" s="60" t="n">
        <v>3</v>
      </c>
      <c r="B7" s="60" t="n">
        <v>1</v>
      </c>
      <c r="C7" s="60" t="n">
        <v>3</v>
      </c>
      <c r="D7" s="66">
        <f>STANDARDIZE(A7,AVERAGE($A$5:$A$10),_xlfn.STDEV.P($A$5:$A$10))</f>
        <v/>
      </c>
    </row>
    <row r="8">
      <c r="A8" s="60" t="n">
        <v>4</v>
      </c>
      <c r="B8" s="60" t="n">
        <v>6</v>
      </c>
      <c r="C8" s="60" t="n">
        <v>4</v>
      </c>
      <c r="D8" s="66">
        <f>STANDARDIZE(A8,AVERAGE($A$5:$A$10),_xlfn.STDEV.P($A$5:$A$10))</f>
        <v/>
      </c>
    </row>
    <row r="9">
      <c r="A9" s="60" t="n">
        <v>5</v>
      </c>
      <c r="B9" s="60" t="n">
        <v>6</v>
      </c>
      <c r="C9" s="60" t="n">
        <v>5</v>
      </c>
      <c r="D9" s="66">
        <f>STANDARDIZE(A9,AVERAGE($A$5:$A$10),_xlfn.STDEV.P($A$5:$A$10))</f>
        <v/>
      </c>
    </row>
    <row r="10">
      <c r="A10" s="60" t="n">
        <v>6</v>
      </c>
      <c r="B10" s="60" t="n">
        <v>6</v>
      </c>
      <c r="C10" s="60" t="n">
        <v>20</v>
      </c>
      <c r="D10" s="66">
        <f>STANDARDIZE(A10,AVERAGE($A$5:$A$10),_xlfn.STDEV.P($A$5:$A$10))</f>
        <v/>
      </c>
    </row>
    <row r="11"/>
    <row r="12">
      <c r="A12" s="32" t="inlineStr">
        <is>
          <t>Media conjunto 1</t>
        </is>
      </c>
      <c r="B12" s="57">
        <f>AVERAGE(A5:A10)</f>
        <v/>
      </c>
      <c r="C12" s="58" t="inlineStr">
        <is>
          <t>→ =PROMEDIO(A5:A10)</t>
        </is>
      </c>
    </row>
    <row r="13">
      <c r="A13" s="32" t="inlineStr">
        <is>
          <t>Varianza conjunto 1</t>
        </is>
      </c>
      <c r="B13" s="57">
        <f>_xlfn.VAR.P(A5:A10)</f>
        <v/>
      </c>
      <c r="C13" s="58" t="inlineStr">
        <is>
          <t>→ =VAR.P(A5:A10)</t>
        </is>
      </c>
    </row>
    <row r="14">
      <c r="A14" s="32" t="inlineStr">
        <is>
          <t>Media conjunto 2</t>
        </is>
      </c>
      <c r="B14" s="57">
        <f>AVERAGE(B5:B10)</f>
        <v/>
      </c>
      <c r="C14" s="58" t="inlineStr">
        <is>
          <t>→ =PROMEDIO(B5:B10)</t>
        </is>
      </c>
    </row>
    <row r="15">
      <c r="A15" s="32" t="inlineStr">
        <is>
          <t>Varianza conjunto 2</t>
        </is>
      </c>
      <c r="B15" s="57">
        <f>_xlfn.VAR.P(B5:B10)</f>
        <v/>
      </c>
      <c r="C15" s="58" t="inlineStr">
        <is>
          <t>→ =VAR.P(B5:B10)</t>
        </is>
      </c>
    </row>
    <row r="16">
      <c r="A16" s="32" t="inlineStr">
        <is>
          <t>Media conjunto 3</t>
        </is>
      </c>
      <c r="B16" s="57">
        <f>AVERAGE(C5:C10)</f>
        <v/>
      </c>
      <c r="C16" s="58" t="inlineStr">
        <is>
          <t>→ =PROMEDIO(C5:C10)</t>
        </is>
      </c>
    </row>
    <row r="17">
      <c r="A17" s="32" t="inlineStr">
        <is>
          <t>Varianza conjunto 3</t>
        </is>
      </c>
      <c r="B17" s="57">
        <f>_xlfn.VAR.P(C5:C10)</f>
        <v/>
      </c>
      <c r="C17" s="58" t="inlineStr">
        <is>
          <t>→ =VAR.P(C5:C10)</t>
        </is>
      </c>
    </row>
  </sheetData>
  <hyperlinks>
    <hyperlink ref="I1" location="'Inicio'!A1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U21"/>
  <sheetViews>
    <sheetView tabSelected="0" zoomScale="11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54" t="inlineStr">
        <is>
          <t>Temas 1-2 · Ejercicio 3</t>
        </is>
      </c>
      <c r="I1" s="20" t="inlineStr">
        <is>
          <t>← Volver al inicio</t>
        </is>
      </c>
    </row>
    <row r="2">
      <c r="A2" s="55" t="inlineStr">
        <is>
          <t>Número de hijos en 20 familias</t>
        </is>
      </c>
    </row>
    <row r="3"/>
    <row r="4">
      <c r="A4" t="inlineStr">
        <is>
          <t>Datos</t>
        </is>
      </c>
      <c r="B4" s="59" t="n">
        <v>0</v>
      </c>
      <c r="C4" s="59" t="n">
        <v>2</v>
      </c>
      <c r="D4" s="59" t="n">
        <v>2</v>
      </c>
      <c r="E4" s="59" t="n">
        <v>2</v>
      </c>
      <c r="F4" s="59" t="n">
        <v>4</v>
      </c>
      <c r="G4" s="59" t="n">
        <v>3</v>
      </c>
      <c r="H4" s="59" t="n">
        <v>3</v>
      </c>
      <c r="I4" s="59" t="n">
        <v>0</v>
      </c>
      <c r="J4" s="59" t="n">
        <v>0</v>
      </c>
      <c r="K4" s="59" t="n">
        <v>0</v>
      </c>
      <c r="L4" s="59" t="n">
        <v>1</v>
      </c>
      <c r="M4" s="59" t="n">
        <v>1</v>
      </c>
      <c r="N4" s="59" t="n">
        <v>1</v>
      </c>
      <c r="O4" s="59" t="n">
        <v>2</v>
      </c>
      <c r="P4" s="59" t="n">
        <v>3</v>
      </c>
      <c r="Q4" s="59" t="n">
        <v>4</v>
      </c>
      <c r="R4" s="59" t="n">
        <v>1</v>
      </c>
      <c r="S4" s="59" t="n">
        <v>1</v>
      </c>
      <c r="T4" s="59" t="n">
        <v>1</v>
      </c>
      <c r="U4" s="59" t="n">
        <v>1</v>
      </c>
    </row>
    <row r="5"/>
    <row r="6">
      <c r="A6" s="65" t="inlineStr">
        <is>
          <t>xᵢ</t>
        </is>
      </c>
      <c r="B6" s="65" t="inlineStr">
        <is>
          <t>nᵢ</t>
        </is>
      </c>
      <c r="C6" s="65" t="inlineStr">
        <is>
          <t>fᵢ</t>
        </is>
      </c>
      <c r="D6" s="65" t="inlineStr">
        <is>
          <t>%</t>
        </is>
      </c>
      <c r="E6" s="65" t="inlineStr">
        <is>
          <t>Nᵢ</t>
        </is>
      </c>
    </row>
    <row r="7">
      <c r="A7" s="60" t="n">
        <v>0</v>
      </c>
      <c r="B7" s="66">
        <f>COUNTIF($B$4:$U$4,A7)</f>
        <v/>
      </c>
      <c r="C7" s="66">
        <f>B7/20</f>
        <v/>
      </c>
      <c r="D7" s="66">
        <f>C7*100</f>
        <v/>
      </c>
      <c r="E7" s="66">
        <f>B7</f>
        <v/>
      </c>
    </row>
    <row r="8">
      <c r="A8" s="60" t="n">
        <v>1</v>
      </c>
      <c r="B8" s="66">
        <f>COUNTIF($B$4:$U$4,A8)</f>
        <v/>
      </c>
      <c r="C8" s="66">
        <f>B8/20</f>
        <v/>
      </c>
      <c r="D8" s="66">
        <f>C8*100</f>
        <v/>
      </c>
      <c r="E8" s="66">
        <f>E7+B8</f>
        <v/>
      </c>
    </row>
    <row r="9">
      <c r="A9" s="60" t="n">
        <v>2</v>
      </c>
      <c r="B9" s="66">
        <f>COUNTIF($B$4:$U$4,A9)</f>
        <v/>
      </c>
      <c r="C9" s="66">
        <f>B9/20</f>
        <v/>
      </c>
      <c r="D9" s="66">
        <f>C9*100</f>
        <v/>
      </c>
      <c r="E9" s="66">
        <f>E8+B9</f>
        <v/>
      </c>
    </row>
    <row r="10">
      <c r="A10" s="60" t="n">
        <v>3</v>
      </c>
      <c r="B10" s="66">
        <f>COUNTIF($B$4:$U$4,A10)</f>
        <v/>
      </c>
      <c r="C10" s="66">
        <f>B10/20</f>
        <v/>
      </c>
      <c r="D10" s="66">
        <f>C10*100</f>
        <v/>
      </c>
      <c r="E10" s="66">
        <f>E9+B10</f>
        <v/>
      </c>
    </row>
    <row r="11">
      <c r="A11" s="60" t="n">
        <v>4</v>
      </c>
      <c r="B11" s="66">
        <f>COUNTIF($B$4:$U$4,A11)</f>
        <v/>
      </c>
      <c r="C11" s="66">
        <f>B11/20</f>
        <v/>
      </c>
      <c r="D11" s="66">
        <f>C11*100</f>
        <v/>
      </c>
      <c r="E11" s="66">
        <f>E10+B11</f>
        <v/>
      </c>
    </row>
    <row r="12"/>
    <row r="13">
      <c r="A13" s="32" t="inlineStr">
        <is>
          <t>n</t>
        </is>
      </c>
      <c r="B13" s="73">
        <f>COUNT($B$4:$U$4)</f>
        <v/>
      </c>
      <c r="C13" s="58" t="inlineStr">
        <is>
          <t>→ =CONTAR($B$4:$U$4)</t>
        </is>
      </c>
    </row>
    <row r="14">
      <c r="A14" s="32" t="inlineStr">
        <is>
          <t>Media</t>
        </is>
      </c>
      <c r="B14" s="57">
        <f>AVERAGE($B$4:$U$4)</f>
        <v/>
      </c>
      <c r="C14" s="58" t="inlineStr">
        <is>
          <t>→ =PROMEDIO($B$4:$U$4)</t>
        </is>
      </c>
    </row>
    <row r="15">
      <c r="A15" s="32" t="inlineStr">
        <is>
          <t>Mediana</t>
        </is>
      </c>
      <c r="B15" s="57">
        <f>MEDIAN($B$4:$U$4)</f>
        <v/>
      </c>
      <c r="C15" s="58" t="inlineStr">
        <is>
          <t>→ =MEDIANA($B$4:$U$4)</t>
        </is>
      </c>
    </row>
    <row r="16">
      <c r="A16" s="32" t="inlineStr">
        <is>
          <t>Moda</t>
        </is>
      </c>
      <c r="B16" s="57">
        <f>_xlfn.MODE.SNGL($B$4:$U$4)</f>
        <v/>
      </c>
      <c r="C16" s="58" t="inlineStr">
        <is>
          <t>→ =MODA.UNO($B$4:$U$4)</t>
        </is>
      </c>
    </row>
    <row r="17">
      <c r="A17" s="32" t="inlineStr">
        <is>
          <t>C₁ (Excel)</t>
        </is>
      </c>
      <c r="B17" s="57">
        <f>_xlfn.QUARTILE.INC($B$4:$U$4,1)</f>
        <v/>
      </c>
      <c r="C17" s="58" t="inlineStr">
        <is>
          <t>→ =CUARTIL.INC($B$4:$U$4;1)</t>
        </is>
      </c>
    </row>
    <row r="18">
      <c r="A18" s="32" t="inlineStr">
        <is>
          <t>C₃ (Excel)</t>
        </is>
      </c>
      <c r="B18" s="57">
        <f>_xlfn.QUARTILE.INC($B$4:$U$4,3)</f>
        <v/>
      </c>
      <c r="C18" s="58" t="inlineStr">
        <is>
          <t>→ =CUARTIL.INC($B$4:$U$4;3)</t>
        </is>
      </c>
      <c r="F18" s="55" t="inlineStr">
        <is>
          <t>Con la receta de clase: 2,5</t>
        </is>
      </c>
    </row>
    <row r="19">
      <c r="A19" s="32" t="inlineStr">
        <is>
          <t>Mínimo</t>
        </is>
      </c>
      <c r="B19" s="57">
        <f>MIN($B$4:$U$4)</f>
        <v/>
      </c>
      <c r="C19" s="58" t="inlineStr">
        <is>
          <t>→ =MIN($B$4:$U$4)</t>
        </is>
      </c>
    </row>
    <row r="20">
      <c r="A20" s="32" t="inlineStr">
        <is>
          <t>Máximo</t>
        </is>
      </c>
      <c r="B20" s="57">
        <f>MAX($B$4:$U$4)</f>
        <v/>
      </c>
      <c r="C20" s="58" t="inlineStr">
        <is>
          <t>→ =MAX($B$4:$U$4)</t>
        </is>
      </c>
    </row>
    <row r="21">
      <c r="A21" s="32" t="inlineStr">
        <is>
          <t>Varianza S²</t>
        </is>
      </c>
      <c r="B21" s="57">
        <f>_xlfn.VAR.P($B$4:$U$4)</f>
        <v/>
      </c>
      <c r="C21" s="58" t="inlineStr">
        <is>
          <t>→ =VAR.P($B$4:$U$4)</t>
        </is>
      </c>
    </row>
  </sheetData>
  <hyperlinks>
    <hyperlink ref="I1" location="'Inicio'!A1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36"/>
  <sheetViews>
    <sheetView tabSelected="0" zoomScale="11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54" t="inlineStr">
        <is>
          <t>Temas 1-2 · Ejercicio 4</t>
        </is>
      </c>
      <c r="I1" s="20" t="inlineStr">
        <is>
          <t>← Volver al inicio</t>
        </is>
      </c>
    </row>
    <row r="2">
      <c r="A2" s="55" t="inlineStr">
        <is>
          <t>Lesiones en fútbol (frecuencias absolutas) y baloncesto (relativas)</t>
        </is>
      </c>
    </row>
    <row r="3"/>
    <row r="4">
      <c r="A4" s="64" t="inlineStr">
        <is>
          <t>Fútbol (X)</t>
        </is>
      </c>
    </row>
    <row r="5">
      <c r="A5" s="65" t="inlineStr">
        <is>
          <t>xᵢ</t>
        </is>
      </c>
      <c r="B5" s="65" t="inlineStr">
        <is>
          <t>nᵢ</t>
        </is>
      </c>
      <c r="C5" s="65" t="inlineStr">
        <is>
          <t>fᵢ</t>
        </is>
      </c>
      <c r="D5" s="65" t="inlineStr">
        <is>
          <t>Nᵢ (acum.)</t>
        </is>
      </c>
      <c r="E5" s="65" t="inlineStr">
        <is>
          <t>xᵢ·nᵢ</t>
        </is>
      </c>
      <c r="F5" s="65" t="inlineStr">
        <is>
          <t>xᵢ²·nᵢ</t>
        </is>
      </c>
    </row>
    <row r="6">
      <c r="A6" s="60" t="n">
        <v>1</v>
      </c>
      <c r="B6" s="60" t="n">
        <v>1</v>
      </c>
      <c r="C6" s="61">
        <f>B6/$B$13</f>
        <v/>
      </c>
      <c r="D6" s="66">
        <f>B6</f>
        <v/>
      </c>
      <c r="E6" s="66">
        <f>A6*B6</f>
        <v/>
      </c>
      <c r="F6" s="66">
        <f>A6^2*B6</f>
        <v/>
      </c>
    </row>
    <row r="7">
      <c r="A7" s="60" t="n">
        <v>2</v>
      </c>
      <c r="B7" s="60" t="n">
        <v>3</v>
      </c>
      <c r="C7" s="61">
        <f>B7/$B$13</f>
        <v/>
      </c>
      <c r="D7" s="66">
        <f>D6+B7</f>
        <v/>
      </c>
      <c r="E7" s="66">
        <f>A7*B7</f>
        <v/>
      </c>
      <c r="F7" s="66">
        <f>A7^2*B7</f>
        <v/>
      </c>
    </row>
    <row r="8">
      <c r="A8" s="60" t="n">
        <v>3</v>
      </c>
      <c r="B8" s="60" t="n">
        <v>5</v>
      </c>
      <c r="C8" s="61">
        <f>B8/$B$13</f>
        <v/>
      </c>
      <c r="D8" s="66">
        <f>D7+B8</f>
        <v/>
      </c>
      <c r="E8" s="66">
        <f>A8*B8</f>
        <v/>
      </c>
      <c r="F8" s="66">
        <f>A8^2*B8</f>
        <v/>
      </c>
    </row>
    <row r="9">
      <c r="A9" s="60" t="n">
        <v>4</v>
      </c>
      <c r="B9" s="60" t="n">
        <v>7</v>
      </c>
      <c r="C9" s="61">
        <f>B9/$B$13</f>
        <v/>
      </c>
      <c r="D9" s="66">
        <f>D8+B9</f>
        <v/>
      </c>
      <c r="E9" s="66">
        <f>A9*B9</f>
        <v/>
      </c>
      <c r="F9" s="66">
        <f>A9^2*B9</f>
        <v/>
      </c>
    </row>
    <row r="10">
      <c r="A10" s="60" t="n">
        <v>5</v>
      </c>
      <c r="B10" s="60" t="n">
        <v>5</v>
      </c>
      <c r="C10" s="61">
        <f>B10/$B$13</f>
        <v/>
      </c>
      <c r="D10" s="66">
        <f>D9+B10</f>
        <v/>
      </c>
      <c r="E10" s="66">
        <f>A10*B10</f>
        <v/>
      </c>
      <c r="F10" s="66">
        <f>A10^2*B10</f>
        <v/>
      </c>
    </row>
    <row r="11">
      <c r="A11" s="60" t="n">
        <v>6</v>
      </c>
      <c r="B11" s="60" t="n">
        <v>3</v>
      </c>
      <c r="C11" s="61">
        <f>B11/$B$13</f>
        <v/>
      </c>
      <c r="D11" s="66">
        <f>D10+B11</f>
        <v/>
      </c>
      <c r="E11" s="66">
        <f>A11*B11</f>
        <v/>
      </c>
      <c r="F11" s="66">
        <f>A11^2*B11</f>
        <v/>
      </c>
    </row>
    <row r="12">
      <c r="A12" s="60" t="n">
        <v>7</v>
      </c>
      <c r="B12" s="60" t="n">
        <v>1</v>
      </c>
      <c r="C12" s="61">
        <f>B12/$B$13</f>
        <v/>
      </c>
      <c r="D12" s="66">
        <f>D11+B12</f>
        <v/>
      </c>
      <c r="E12" s="66">
        <f>A12*B12</f>
        <v/>
      </c>
      <c r="F12" s="66">
        <f>A12^2*B12</f>
        <v/>
      </c>
    </row>
    <row r="13">
      <c r="A13" s="32" t="inlineStr">
        <is>
          <t>Total</t>
        </is>
      </c>
      <c r="B13">
        <f>SUM(B6:B12)</f>
        <v/>
      </c>
      <c r="C13">
        <f>SUM(C6:C12)</f>
        <v/>
      </c>
      <c r="E13">
        <f>SUM(E6:E12)</f>
        <v/>
      </c>
      <c r="F13">
        <f>SUM(F6:F12)</f>
        <v/>
      </c>
    </row>
    <row r="14"/>
    <row r="15">
      <c r="A15" s="32" t="inlineStr">
        <is>
          <t>Media</t>
        </is>
      </c>
      <c r="B15" s="57">
        <f>E13/B13</f>
        <v/>
      </c>
      <c r="C15" s="58" t="inlineStr">
        <is>
          <t>→ =E13/B13</t>
        </is>
      </c>
    </row>
    <row r="16">
      <c r="A16" s="32" t="inlineStr">
        <is>
          <t>Varianza S²</t>
        </is>
      </c>
      <c r="B16" s="57">
        <f>F13/B13-B15^2</f>
        <v/>
      </c>
      <c r="C16" s="58" t="inlineStr">
        <is>
          <t>→ =F13/B13-B15^2</t>
        </is>
      </c>
    </row>
    <row r="17">
      <c r="A17" s="32" t="inlineStr">
        <is>
          <t>Desviación típica S</t>
        </is>
      </c>
      <c r="B17" s="57">
        <f>SQRT(B16)</f>
        <v/>
      </c>
      <c r="C17" s="58" t="inlineStr">
        <is>
          <t>→ =RAIZ(B16)</t>
        </is>
      </c>
    </row>
    <row r="18">
      <c r="A18" s="32" t="inlineStr">
        <is>
          <t>CV</t>
        </is>
      </c>
      <c r="B18" s="57">
        <f>B17/B15</f>
        <v/>
      </c>
      <c r="C18" s="58" t="inlineStr">
        <is>
          <t>→ =B17/B15</t>
        </is>
      </c>
    </row>
    <row r="19">
      <c r="A19" s="71" t="inlineStr">
        <is>
          <t>Moda = 4 (nᵢ = 7). Mediana: n/2 = 12,5 → primera Nᵢ ≥ 12,5 es 16 → Me = 4.</t>
        </is>
      </c>
    </row>
    <row r="20"/>
    <row r="21">
      <c r="A21" s="64" t="inlineStr">
        <is>
          <t>Baloncesto (Y), con frecuencias relativas</t>
        </is>
      </c>
    </row>
    <row r="22">
      <c r="A22" s="65" t="inlineStr">
        <is>
          <t>xᵢ</t>
        </is>
      </c>
      <c r="B22" s="65" t="inlineStr">
        <is>
          <t>fᵢ</t>
        </is>
      </c>
      <c r="C22" s="65" t="inlineStr">
        <is>
          <t>fᵢ</t>
        </is>
      </c>
      <c r="D22" s="65" t="inlineStr">
        <is>
          <t>Nᵢ (acum.)</t>
        </is>
      </c>
      <c r="E22" s="65" t="inlineStr">
        <is>
          <t>xᵢ·nᵢ</t>
        </is>
      </c>
      <c r="F22" s="65" t="inlineStr">
        <is>
          <t>xᵢ²·nᵢ</t>
        </is>
      </c>
    </row>
    <row r="23">
      <c r="A23" s="60" t="n">
        <v>1</v>
      </c>
      <c r="B23" s="60" t="n">
        <v>0.24</v>
      </c>
      <c r="C23" s="61">
        <f>B23/$B$30</f>
        <v/>
      </c>
      <c r="D23" s="66">
        <f>B23</f>
        <v/>
      </c>
      <c r="E23" s="66">
        <f>A23*B23</f>
        <v/>
      </c>
      <c r="F23" s="66">
        <f>A23^2*B23</f>
        <v/>
      </c>
    </row>
    <row r="24">
      <c r="A24" s="60" t="n">
        <v>2</v>
      </c>
      <c r="B24" s="60" t="n">
        <v>0.16</v>
      </c>
      <c r="C24" s="61">
        <f>B24/$B$30</f>
        <v/>
      </c>
      <c r="D24" s="66">
        <f>D23+B24</f>
        <v/>
      </c>
      <c r="E24" s="66">
        <f>A24*B24</f>
        <v/>
      </c>
      <c r="F24" s="66">
        <f>A24^2*B24</f>
        <v/>
      </c>
    </row>
    <row r="25">
      <c r="A25" s="60" t="n">
        <v>3</v>
      </c>
      <c r="B25" s="60" t="n">
        <v>0.08</v>
      </c>
      <c r="C25" s="61">
        <f>B25/$B$30</f>
        <v/>
      </c>
      <c r="D25" s="66">
        <f>D24+B25</f>
        <v/>
      </c>
      <c r="E25" s="66">
        <f>A25*B25</f>
        <v/>
      </c>
      <c r="F25" s="66">
        <f>A25^2*B25</f>
        <v/>
      </c>
    </row>
    <row r="26">
      <c r="A26" s="60" t="n">
        <v>4</v>
      </c>
      <c r="B26" s="60" t="n">
        <v>0.04</v>
      </c>
      <c r="C26" s="61">
        <f>B26/$B$30</f>
        <v/>
      </c>
      <c r="D26" s="66">
        <f>D25+B26</f>
        <v/>
      </c>
      <c r="E26" s="66">
        <f>A26*B26</f>
        <v/>
      </c>
      <c r="F26" s="66">
        <f>A26^2*B26</f>
        <v/>
      </c>
    </row>
    <row r="27">
      <c r="A27" s="60" t="n">
        <v>5</v>
      </c>
      <c r="B27" s="60" t="n">
        <v>0.08</v>
      </c>
      <c r="C27" s="61">
        <f>B27/$B$30</f>
        <v/>
      </c>
      <c r="D27" s="66">
        <f>D26+B27</f>
        <v/>
      </c>
      <c r="E27" s="66">
        <f>A27*B27</f>
        <v/>
      </c>
      <c r="F27" s="66">
        <f>A27^2*B27</f>
        <v/>
      </c>
    </row>
    <row r="28">
      <c r="A28" s="60" t="n">
        <v>6</v>
      </c>
      <c r="B28" s="60" t="n">
        <v>0.16</v>
      </c>
      <c r="C28" s="61">
        <f>B28/$B$30</f>
        <v/>
      </c>
      <c r="D28" s="66">
        <f>D27+B28</f>
        <v/>
      </c>
      <c r="E28" s="66">
        <f>A28*B28</f>
        <v/>
      </c>
      <c r="F28" s="66">
        <f>A28^2*B28</f>
        <v/>
      </c>
    </row>
    <row r="29">
      <c r="A29" s="60" t="n">
        <v>7</v>
      </c>
      <c r="B29" s="60" t="n">
        <v>0.24</v>
      </c>
      <c r="C29" s="61">
        <f>B29/$B$30</f>
        <v/>
      </c>
      <c r="D29" s="66">
        <f>D28+B29</f>
        <v/>
      </c>
      <c r="E29" s="66">
        <f>A29*B29</f>
        <v/>
      </c>
      <c r="F29" s="66">
        <f>A29^2*B29</f>
        <v/>
      </c>
    </row>
    <row r="30">
      <c r="A30" s="32" t="inlineStr">
        <is>
          <t>Total</t>
        </is>
      </c>
      <c r="B30">
        <f>SUM(B23:B29)</f>
        <v/>
      </c>
      <c r="C30">
        <f>SUM(C23:C29)</f>
        <v/>
      </c>
      <c r="E30">
        <f>SUM(E23:E29)</f>
        <v/>
      </c>
      <c r="F30">
        <f>SUM(F23:F29)</f>
        <v/>
      </c>
    </row>
    <row r="31"/>
    <row r="32">
      <c r="A32" s="32" t="inlineStr">
        <is>
          <t>Media</t>
        </is>
      </c>
      <c r="B32" s="57">
        <f>E30/B30</f>
        <v/>
      </c>
      <c r="C32" s="58" t="inlineStr">
        <is>
          <t>→ =E30/B30</t>
        </is>
      </c>
    </row>
    <row r="33">
      <c r="A33" s="32" t="inlineStr">
        <is>
          <t>Varianza S²</t>
        </is>
      </c>
      <c r="B33" s="57">
        <f>F30/B30-B32^2</f>
        <v/>
      </c>
      <c r="C33" s="58" t="inlineStr">
        <is>
          <t>→ =F30/B30-B32^2</t>
        </is>
      </c>
    </row>
    <row r="34">
      <c r="A34" s="32" t="inlineStr">
        <is>
          <t>Desviación típica S</t>
        </is>
      </c>
      <c r="B34" s="57">
        <f>SQRT(B33)</f>
        <v/>
      </c>
      <c r="C34" s="58" t="inlineStr">
        <is>
          <t>→ =RAIZ(B33)</t>
        </is>
      </c>
    </row>
    <row r="35">
      <c r="A35" s="32" t="inlineStr">
        <is>
          <t>CV</t>
        </is>
      </c>
      <c r="B35" s="57">
        <f>B34/B32</f>
        <v/>
      </c>
      <c r="C35" s="58" t="inlineStr">
        <is>
          <t>→ =B34/B32</t>
        </is>
      </c>
    </row>
    <row r="36">
      <c r="A36" s="71" t="inlineStr">
        <is>
          <t>Con relativas el "total" es 1. Modas: 1 y 7. Mediana: primera F ≥ 0,5 es 0,52 → Me = 4. Más variable baloncesto (5,76 &gt; 2,08).</t>
        </is>
      </c>
    </row>
  </sheetData>
  <hyperlinks>
    <hyperlink ref="I1" location="'Inicio'!A1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0" zoomScale="11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54" t="inlineStr">
        <is>
          <t>Temas 1-2 · Ejercicio 5</t>
        </is>
      </c>
      <c r="I1" s="20" t="inlineStr">
        <is>
          <t>← Volver al inicio</t>
        </is>
      </c>
    </row>
    <row r="2">
      <c r="A2" s="55" t="inlineStr">
        <is>
          <t>Histograma con amplitudes distintas</t>
        </is>
      </c>
    </row>
    <row r="3"/>
    <row r="4">
      <c r="A4" s="65" t="inlineStr">
        <is>
          <t>L inf</t>
        </is>
      </c>
      <c r="B4" s="65" t="inlineStr">
        <is>
          <t>L sup</t>
        </is>
      </c>
      <c r="C4" s="65" t="inlineStr">
        <is>
          <t>nᵢ</t>
        </is>
      </c>
      <c r="D4" s="65" t="inlineStr">
        <is>
          <t>Marca xᵢ</t>
        </is>
      </c>
      <c r="E4" s="65" t="inlineStr">
        <is>
          <t>Amplitud aᵢ</t>
        </is>
      </c>
      <c r="F4" s="65" t="inlineStr">
        <is>
          <t>Densidad dᵢ</t>
        </is>
      </c>
      <c r="G4" s="65" t="inlineStr">
        <is>
          <t>xᵢ·nᵢ</t>
        </is>
      </c>
      <c r="H4" s="65" t="inlineStr">
        <is>
          <t>xᵢ²·nᵢ</t>
        </is>
      </c>
      <c r="I4" s="65" t="inlineStr">
        <is>
          <t>Nᵢ (acum.)</t>
        </is>
      </c>
    </row>
    <row r="5">
      <c r="A5" s="60" t="n">
        <v>7</v>
      </c>
      <c r="B5" s="60" t="n">
        <v>8</v>
      </c>
      <c r="C5" s="60" t="n">
        <v>3</v>
      </c>
      <c r="D5" s="66">
        <f>(A5+B5)/2</f>
        <v/>
      </c>
      <c r="E5" s="66">
        <f>B5-A5</f>
        <v/>
      </c>
      <c r="F5" s="66">
        <f>C5/E5</f>
        <v/>
      </c>
      <c r="G5" s="66">
        <f>D5*C5</f>
        <v/>
      </c>
      <c r="H5" s="66">
        <f>D5^2*C5</f>
        <v/>
      </c>
      <c r="I5" s="66">
        <f>C5</f>
        <v/>
      </c>
    </row>
    <row r="6">
      <c r="A6" s="60" t="n">
        <v>8</v>
      </c>
      <c r="B6" s="60" t="n">
        <v>9</v>
      </c>
      <c r="C6" s="60" t="n">
        <v>6</v>
      </c>
      <c r="D6" s="66">
        <f>(A6+B6)/2</f>
        <v/>
      </c>
      <c r="E6" s="66">
        <f>B6-A6</f>
        <v/>
      </c>
      <c r="F6" s="66">
        <f>C6/E6</f>
        <v/>
      </c>
      <c r="G6" s="66">
        <f>D6*C6</f>
        <v/>
      </c>
      <c r="H6" s="66">
        <f>D6^2*C6</f>
        <v/>
      </c>
      <c r="I6" s="66">
        <f>I5+C6</f>
        <v/>
      </c>
    </row>
    <row r="7">
      <c r="A7" s="60" t="n">
        <v>9</v>
      </c>
      <c r="B7" s="60" t="n">
        <v>10</v>
      </c>
      <c r="C7" s="60" t="n">
        <v>9</v>
      </c>
      <c r="D7" s="66">
        <f>(A7+B7)/2</f>
        <v/>
      </c>
      <c r="E7" s="66">
        <f>B7-A7</f>
        <v/>
      </c>
      <c r="F7" s="66">
        <f>C7/E7</f>
        <v/>
      </c>
      <c r="G7" s="66">
        <f>D7*C7</f>
        <v/>
      </c>
      <c r="H7" s="66">
        <f>D7^2*C7</f>
        <v/>
      </c>
      <c r="I7" s="66">
        <f>I6+C7</f>
        <v/>
      </c>
    </row>
    <row r="8">
      <c r="A8" s="60" t="n">
        <v>10</v>
      </c>
      <c r="B8" s="60" t="n">
        <v>12</v>
      </c>
      <c r="C8" s="60" t="n">
        <v>9</v>
      </c>
      <c r="D8" s="66">
        <f>(A8+B8)/2</f>
        <v/>
      </c>
      <c r="E8" s="66">
        <f>B8-A8</f>
        <v/>
      </c>
      <c r="F8" s="66">
        <f>C8/E8</f>
        <v/>
      </c>
      <c r="G8" s="66">
        <f>D8*C8</f>
        <v/>
      </c>
      <c r="H8" s="66">
        <f>D8^2*C8</f>
        <v/>
      </c>
      <c r="I8" s="66">
        <f>I7+C8</f>
        <v/>
      </c>
    </row>
    <row r="9">
      <c r="A9" s="60" t="n">
        <v>12</v>
      </c>
      <c r="B9" s="60" t="n">
        <v>15</v>
      </c>
      <c r="C9" s="60" t="n">
        <v>3</v>
      </c>
      <c r="D9" s="66">
        <f>(A9+B9)/2</f>
        <v/>
      </c>
      <c r="E9" s="66">
        <f>B9-A9</f>
        <v/>
      </c>
      <c r="F9" s="66">
        <f>C9/E9</f>
        <v/>
      </c>
      <c r="G9" s="66">
        <f>D9*C9</f>
        <v/>
      </c>
      <c r="H9" s="66">
        <f>D9^2*C9</f>
        <v/>
      </c>
      <c r="I9" s="66">
        <f>I8+C9</f>
        <v/>
      </c>
    </row>
    <row r="10">
      <c r="A10" s="32" t="inlineStr">
        <is>
          <t>Total</t>
        </is>
      </c>
      <c r="C10" s="67">
        <f>SUM(C5:C9)</f>
        <v/>
      </c>
      <c r="G10" s="67">
        <f>SUM(G5:G9)</f>
        <v/>
      </c>
      <c r="H10" s="67">
        <f>SUM(H5:H9)</f>
        <v/>
      </c>
    </row>
    <row r="11"/>
    <row r="12">
      <c r="A12" s="71" t="inlineStr">
        <is>
          <t>La columna F (densidad) es la altura de cada barra del histograma.</t>
        </is>
      </c>
    </row>
  </sheetData>
  <hyperlinks>
    <hyperlink ref="I1" location="'Inicio'!A1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4"/>
  <sheetViews>
    <sheetView tabSelected="0" zoomScale="11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54" t="inlineStr">
        <is>
          <t>Temas 1-2 · Ejercicio 6</t>
        </is>
      </c>
      <c r="I1" s="20" t="inlineStr">
        <is>
          <t>← Volver al inicio</t>
        </is>
      </c>
    </row>
    <row r="2">
      <c r="A2" s="55" t="inlineStr">
        <is>
          <t>Notas de 50 alumnos</t>
        </is>
      </c>
    </row>
    <row r="3"/>
    <row r="4">
      <c r="A4" s="65" t="inlineStr">
        <is>
          <t>xᵢ</t>
        </is>
      </c>
      <c r="B4" s="65" t="inlineStr">
        <is>
          <t>nᵢ</t>
        </is>
      </c>
      <c r="C4" s="65" t="inlineStr">
        <is>
          <t>fᵢ</t>
        </is>
      </c>
      <c r="D4" s="65" t="inlineStr">
        <is>
          <t>Nᵢ (acum.)</t>
        </is>
      </c>
      <c r="E4" s="65" t="inlineStr">
        <is>
          <t>xᵢ·nᵢ</t>
        </is>
      </c>
      <c r="F4" s="65" t="inlineStr">
        <is>
          <t>xᵢ²·nᵢ</t>
        </is>
      </c>
    </row>
    <row r="5">
      <c r="A5" s="60" t="n">
        <v>1</v>
      </c>
      <c r="B5" s="60" t="n">
        <v>4</v>
      </c>
      <c r="C5" s="61">
        <f>B5/$B$13</f>
        <v/>
      </c>
      <c r="D5" s="66">
        <f>B5</f>
        <v/>
      </c>
      <c r="E5" s="66">
        <f>A5*B5</f>
        <v/>
      </c>
      <c r="F5" s="66">
        <f>A5^2*B5</f>
        <v/>
      </c>
    </row>
    <row r="6">
      <c r="A6" s="60" t="n">
        <v>2</v>
      </c>
      <c r="B6" s="60" t="n">
        <v>4</v>
      </c>
      <c r="C6" s="61">
        <f>B6/$B$13</f>
        <v/>
      </c>
      <c r="D6" s="66">
        <f>D5+B6</f>
        <v/>
      </c>
      <c r="E6" s="66">
        <f>A6*B6</f>
        <v/>
      </c>
      <c r="F6" s="66">
        <f>A6^2*B6</f>
        <v/>
      </c>
    </row>
    <row r="7">
      <c r="A7" s="60" t="n">
        <v>3</v>
      </c>
      <c r="B7" s="60" t="n">
        <v>8</v>
      </c>
      <c r="C7" s="61">
        <f>B7/$B$13</f>
        <v/>
      </c>
      <c r="D7" s="66">
        <f>D6+B7</f>
        <v/>
      </c>
      <c r="E7" s="66">
        <f>A7*B7</f>
        <v/>
      </c>
      <c r="F7" s="66">
        <f>A7^2*B7</f>
        <v/>
      </c>
    </row>
    <row r="8">
      <c r="A8" s="60" t="n">
        <v>4</v>
      </c>
      <c r="B8" s="60" t="n">
        <v>7</v>
      </c>
      <c r="C8" s="61">
        <f>B8/$B$13</f>
        <v/>
      </c>
      <c r="D8" s="66">
        <f>D7+B8</f>
        <v/>
      </c>
      <c r="E8" s="66">
        <f>A8*B8</f>
        <v/>
      </c>
      <c r="F8" s="66">
        <f>A8^2*B8</f>
        <v/>
      </c>
    </row>
    <row r="9">
      <c r="A9" s="60" t="n">
        <v>5</v>
      </c>
      <c r="B9" s="60" t="n">
        <v>5</v>
      </c>
      <c r="C9" s="61">
        <f>B9/$B$13</f>
        <v/>
      </c>
      <c r="D9" s="66">
        <f>D8+B9</f>
        <v/>
      </c>
      <c r="E9" s="66">
        <f>A9*B9</f>
        <v/>
      </c>
      <c r="F9" s="66">
        <f>A9^2*B9</f>
        <v/>
      </c>
    </row>
    <row r="10">
      <c r="A10" s="60" t="n">
        <v>6</v>
      </c>
      <c r="B10" s="60" t="n">
        <v>10</v>
      </c>
      <c r="C10" s="61">
        <f>B10/$B$13</f>
        <v/>
      </c>
      <c r="D10" s="66">
        <f>D9+B10</f>
        <v/>
      </c>
      <c r="E10" s="66">
        <f>A10*B10</f>
        <v/>
      </c>
      <c r="F10" s="66">
        <f>A10^2*B10</f>
        <v/>
      </c>
    </row>
    <row r="11">
      <c r="A11" s="60" t="n">
        <v>7</v>
      </c>
      <c r="B11" s="60" t="n">
        <v>7</v>
      </c>
      <c r="C11" s="61">
        <f>B11/$B$13</f>
        <v/>
      </c>
      <c r="D11" s="66">
        <f>D10+B11</f>
        <v/>
      </c>
      <c r="E11" s="66">
        <f>A11*B11</f>
        <v/>
      </c>
      <c r="F11" s="66">
        <f>A11^2*B11</f>
        <v/>
      </c>
    </row>
    <row r="12">
      <c r="A12" s="60" t="n">
        <v>8</v>
      </c>
      <c r="B12" s="60" t="n">
        <v>5</v>
      </c>
      <c r="C12" s="61">
        <f>B12/$B$13</f>
        <v/>
      </c>
      <c r="D12" s="66">
        <f>D11+B12</f>
        <v/>
      </c>
      <c r="E12" s="66">
        <f>A12*B12</f>
        <v/>
      </c>
      <c r="F12" s="66">
        <f>A12^2*B12</f>
        <v/>
      </c>
    </row>
    <row r="13">
      <c r="A13" s="32" t="inlineStr">
        <is>
          <t>Total</t>
        </is>
      </c>
      <c r="B13">
        <f>SUM(B5:B12)</f>
        <v/>
      </c>
      <c r="C13">
        <f>SUM(C5:C12)</f>
        <v/>
      </c>
      <c r="E13">
        <f>SUM(E5:E12)</f>
        <v/>
      </c>
      <c r="F13">
        <f>SUM(F5:F12)</f>
        <v/>
      </c>
    </row>
    <row r="14"/>
    <row r="15">
      <c r="A15" s="32" t="inlineStr">
        <is>
          <t>Media</t>
        </is>
      </c>
      <c r="B15" s="57">
        <f>E13/B13</f>
        <v/>
      </c>
      <c r="C15" s="58" t="inlineStr">
        <is>
          <t>→ =E13/B13</t>
        </is>
      </c>
    </row>
    <row r="16">
      <c r="A16" s="32" t="inlineStr">
        <is>
          <t>Varianza S²</t>
        </is>
      </c>
      <c r="B16" s="57">
        <f>F13/B13-B15^2</f>
        <v/>
      </c>
      <c r="C16" s="58" t="inlineStr">
        <is>
          <t>→ =F13/B13-B15^2</t>
        </is>
      </c>
    </row>
    <row r="17">
      <c r="A17" s="32" t="inlineStr">
        <is>
          <t>Desviación típica S</t>
        </is>
      </c>
      <c r="B17" s="57">
        <f>SQRT(B16)</f>
        <v/>
      </c>
      <c r="C17" s="58" t="inlineStr">
        <is>
          <t>→ =RAIZ(B16)</t>
        </is>
      </c>
    </row>
    <row r="18">
      <c r="A18" s="32" t="inlineStr">
        <is>
          <t>CV</t>
        </is>
      </c>
      <c r="B18" s="57">
        <f>B17/B15</f>
        <v/>
      </c>
      <c r="C18" s="58" t="inlineStr">
        <is>
          <t>→ =B17/B15</t>
        </is>
      </c>
    </row>
    <row r="19"/>
    <row r="20">
      <c r="A20" s="32" t="inlineStr">
        <is>
          <t>Total alumnos</t>
        </is>
      </c>
      <c r="B20" s="73">
        <f>B13</f>
        <v/>
      </c>
      <c r="C20" s="58" t="inlineStr">
        <is>
          <t>→ =B13</t>
        </is>
      </c>
    </row>
    <row r="21">
      <c r="A21" s="32" t="inlineStr">
        <is>
          <t>Más de un 3</t>
        </is>
      </c>
      <c r="B21" s="73">
        <f>B13-D7</f>
        <v/>
      </c>
      <c r="C21" s="58" t="inlineStr">
        <is>
          <t>→ =B13-D7</t>
        </is>
      </c>
    </row>
    <row r="22">
      <c r="A22" s="32" t="inlineStr">
        <is>
          <t>% con un 6</t>
        </is>
      </c>
      <c r="B22" s="70">
        <f>C10</f>
        <v/>
      </c>
      <c r="C22" s="58" t="inlineStr">
        <is>
          <t>→ =C10</t>
        </is>
      </c>
    </row>
    <row r="23">
      <c r="A23" s="32" t="inlineStr">
        <is>
          <t>% con más de un 4</t>
        </is>
      </c>
      <c r="B23" s="70">
        <f>1-D8/B13</f>
        <v/>
      </c>
      <c r="C23" s="58" t="inlineStr">
        <is>
          <t>→ =1-D8/B13</t>
        </is>
      </c>
    </row>
    <row r="24">
      <c r="A24" s="32" t="inlineStr">
        <is>
          <t>Nota ≥ 2 y &lt; 5</t>
        </is>
      </c>
      <c r="B24" s="73">
        <f>SUM(B6:B8)</f>
        <v/>
      </c>
      <c r="C24" s="58" t="inlineStr">
        <is>
          <t>→ =SUMA(B6:B8)</t>
        </is>
      </c>
    </row>
  </sheetData>
  <hyperlinks>
    <hyperlink ref="I1" location="'Inicio'!A1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5"/>
  <sheetViews>
    <sheetView tabSelected="0" zoomScale="11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54" t="inlineStr">
        <is>
          <t>Temas 1-2 · Ejercicio 7</t>
        </is>
      </c>
      <c r="I1" s="20" t="inlineStr">
        <is>
          <t>← Volver al inicio</t>
        </is>
      </c>
    </row>
    <row r="2">
      <c r="A2" s="55" t="inlineStr">
        <is>
          <t>Pólizas en 26 días (intervalos)</t>
        </is>
      </c>
    </row>
    <row r="3"/>
    <row r="4">
      <c r="A4" s="65" t="inlineStr">
        <is>
          <t>L inf</t>
        </is>
      </c>
      <c r="B4" s="65" t="inlineStr">
        <is>
          <t>L sup</t>
        </is>
      </c>
      <c r="C4" s="65" t="inlineStr">
        <is>
          <t>nᵢ</t>
        </is>
      </c>
      <c r="D4" s="65" t="inlineStr">
        <is>
          <t>Marca xᵢ</t>
        </is>
      </c>
      <c r="E4" s="65" t="inlineStr">
        <is>
          <t>Amplitud aᵢ</t>
        </is>
      </c>
      <c r="F4" s="65" t="inlineStr">
        <is>
          <t>Densidad dᵢ</t>
        </is>
      </c>
      <c r="G4" s="65" t="inlineStr">
        <is>
          <t>xᵢ·nᵢ</t>
        </is>
      </c>
      <c r="H4" s="65" t="inlineStr">
        <is>
          <t>xᵢ²·nᵢ</t>
        </is>
      </c>
      <c r="I4" s="65" t="inlineStr">
        <is>
          <t>Nᵢ (acum.)</t>
        </is>
      </c>
    </row>
    <row r="5">
      <c r="A5" s="60" t="n">
        <v>30</v>
      </c>
      <c r="B5" s="60" t="n">
        <v>40</v>
      </c>
      <c r="C5" s="60" t="n">
        <v>2</v>
      </c>
      <c r="D5" s="66">
        <f>(A5+B5)/2</f>
        <v/>
      </c>
      <c r="E5" s="66">
        <f>B5-A5</f>
        <v/>
      </c>
      <c r="F5" s="66">
        <f>C5/E5</f>
        <v/>
      </c>
      <c r="G5" s="66">
        <f>D5*C5</f>
        <v/>
      </c>
      <c r="H5" s="66">
        <f>D5^2*C5</f>
        <v/>
      </c>
      <c r="I5" s="66">
        <f>C5</f>
        <v/>
      </c>
    </row>
    <row r="6">
      <c r="A6" s="60" t="n">
        <v>40</v>
      </c>
      <c r="B6" s="60" t="n">
        <v>50</v>
      </c>
      <c r="C6" s="60" t="n">
        <v>4</v>
      </c>
      <c r="D6" s="66">
        <f>(A6+B6)/2</f>
        <v/>
      </c>
      <c r="E6" s="66">
        <f>B6-A6</f>
        <v/>
      </c>
      <c r="F6" s="66">
        <f>C6/E6</f>
        <v/>
      </c>
      <c r="G6" s="66">
        <f>D6*C6</f>
        <v/>
      </c>
      <c r="H6" s="66">
        <f>D6^2*C6</f>
        <v/>
      </c>
      <c r="I6" s="66">
        <f>I5+C6</f>
        <v/>
      </c>
    </row>
    <row r="7">
      <c r="A7" s="60" t="n">
        <v>50</v>
      </c>
      <c r="B7" s="60" t="n">
        <v>60</v>
      </c>
      <c r="C7" s="60" t="n">
        <v>6</v>
      </c>
      <c r="D7" s="66">
        <f>(A7+B7)/2</f>
        <v/>
      </c>
      <c r="E7" s="66">
        <f>B7-A7</f>
        <v/>
      </c>
      <c r="F7" s="66">
        <f>C7/E7</f>
        <v/>
      </c>
      <c r="G7" s="66">
        <f>D7*C7</f>
        <v/>
      </c>
      <c r="H7" s="66">
        <f>D7^2*C7</f>
        <v/>
      </c>
      <c r="I7" s="66">
        <f>I6+C7</f>
        <v/>
      </c>
    </row>
    <row r="8">
      <c r="A8" s="60" t="n">
        <v>60</v>
      </c>
      <c r="B8" s="60" t="n">
        <v>70</v>
      </c>
      <c r="C8" s="60" t="n">
        <v>9</v>
      </c>
      <c r="D8" s="66">
        <f>(A8+B8)/2</f>
        <v/>
      </c>
      <c r="E8" s="66">
        <f>B8-A8</f>
        <v/>
      </c>
      <c r="F8" s="66">
        <f>C8/E8</f>
        <v/>
      </c>
      <c r="G8" s="66">
        <f>D8*C8</f>
        <v/>
      </c>
      <c r="H8" s="66">
        <f>D8^2*C8</f>
        <v/>
      </c>
      <c r="I8" s="66">
        <f>I7+C8</f>
        <v/>
      </c>
    </row>
    <row r="9">
      <c r="A9" s="60" t="n">
        <v>70</v>
      </c>
      <c r="B9" s="60" t="n">
        <v>80</v>
      </c>
      <c r="C9" s="60" t="n">
        <v>5</v>
      </c>
      <c r="D9" s="66">
        <f>(A9+B9)/2</f>
        <v/>
      </c>
      <c r="E9" s="66">
        <f>B9-A9</f>
        <v/>
      </c>
      <c r="F9" s="66">
        <f>C9/E9</f>
        <v/>
      </c>
      <c r="G9" s="66">
        <f>D9*C9</f>
        <v/>
      </c>
      <c r="H9" s="66">
        <f>D9^2*C9</f>
        <v/>
      </c>
      <c r="I9" s="66">
        <f>I8+C9</f>
        <v/>
      </c>
    </row>
    <row r="10">
      <c r="A10" s="32" t="inlineStr">
        <is>
          <t>Total</t>
        </is>
      </c>
      <c r="C10" s="67">
        <f>SUM(C5:C9)</f>
        <v/>
      </c>
      <c r="G10" s="67">
        <f>SUM(G5:G9)</f>
        <v/>
      </c>
      <c r="H10" s="67">
        <f>SUM(H5:H9)</f>
        <v/>
      </c>
    </row>
    <row r="11"/>
    <row r="12">
      <c r="A12" s="32" t="inlineStr">
        <is>
          <t>Días con más de 50</t>
        </is>
      </c>
      <c r="B12" s="83">
        <f>SUM(C7:C9)</f>
        <v/>
      </c>
      <c r="C12" s="58" t="inlineStr">
        <is>
          <t>→ =SUMA(C7:C9)</t>
        </is>
      </c>
    </row>
    <row r="13">
      <c r="A13" s="32" t="inlineStr">
        <is>
          <t>Días con más de 62</t>
        </is>
      </c>
      <c r="B13" s="83">
        <f>C8*(70-62)/10+C9</f>
        <v/>
      </c>
      <c r="C13" s="58" t="inlineStr">
        <is>
          <t>→ =C8*(70-62)/10+C9</t>
        </is>
      </c>
    </row>
    <row r="14">
      <c r="A14" s="32" t="inlineStr">
        <is>
          <t>Días entre 52 y 67</t>
        </is>
      </c>
      <c r="B14" s="83">
        <f>C7*(60-52)/10+C8*(67-60)/10</f>
        <v/>
      </c>
      <c r="C14" s="58" t="inlineStr">
        <is>
          <t>→ =C7*(60-52)/10+C8*(67-60)/10</t>
        </is>
      </c>
    </row>
    <row r="15">
      <c r="A15" s="32" t="inlineStr">
        <is>
          <t>% entre 52 y 67</t>
        </is>
      </c>
      <c r="B15" s="70">
        <f>B14/C10</f>
        <v/>
      </c>
      <c r="C15" s="58" t="inlineStr">
        <is>
          <t>→ =B14/C10</t>
        </is>
      </c>
    </row>
  </sheetData>
  <hyperlinks>
    <hyperlink ref="I1" location="'Inicio'!A1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17"/>
  <sheetViews>
    <sheetView tabSelected="0" zoomScale="11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54" t="inlineStr">
        <is>
          <t>Temas 1-2 · Ejercicio 8</t>
        </is>
      </c>
      <c r="I1" s="20" t="inlineStr">
        <is>
          <t>← Volver al inicio</t>
        </is>
      </c>
    </row>
    <row r="2">
      <c r="A2" s="55" t="inlineStr">
        <is>
          <t>Exportaciones (miles de €)</t>
        </is>
      </c>
    </row>
    <row r="3"/>
    <row r="4">
      <c r="A4" s="65" t="inlineStr">
        <is>
          <t>L inf</t>
        </is>
      </c>
      <c r="B4" s="65" t="inlineStr">
        <is>
          <t>L sup</t>
        </is>
      </c>
      <c r="C4" s="65" t="inlineStr">
        <is>
          <t>nᵢ</t>
        </is>
      </c>
      <c r="D4" s="65" t="inlineStr">
        <is>
          <t>Marca xᵢ</t>
        </is>
      </c>
      <c r="E4" s="65" t="inlineStr">
        <is>
          <t>Amplitud aᵢ</t>
        </is>
      </c>
      <c r="F4" s="65" t="inlineStr">
        <is>
          <t>Densidad dᵢ</t>
        </is>
      </c>
      <c r="G4" s="65" t="inlineStr">
        <is>
          <t>xᵢ·nᵢ</t>
        </is>
      </c>
      <c r="H4" s="65" t="inlineStr">
        <is>
          <t>xᵢ²·nᵢ</t>
        </is>
      </c>
      <c r="I4" s="65" t="inlineStr">
        <is>
          <t>Nᵢ (acum.)</t>
        </is>
      </c>
    </row>
    <row r="5">
      <c r="A5" s="60" t="n">
        <v>0</v>
      </c>
      <c r="B5" s="60" t="n">
        <v>10</v>
      </c>
      <c r="C5" s="60" t="n">
        <v>4</v>
      </c>
      <c r="D5" s="66">
        <f>(A5+B5)/2</f>
        <v/>
      </c>
      <c r="E5" s="66">
        <f>B5-A5</f>
        <v/>
      </c>
      <c r="F5" s="66">
        <f>C5/E5</f>
        <v/>
      </c>
      <c r="G5" s="66">
        <f>D5*C5</f>
        <v/>
      </c>
      <c r="H5" s="66">
        <f>D5^2*C5</f>
        <v/>
      </c>
      <c r="I5" s="66">
        <f>C5</f>
        <v/>
      </c>
    </row>
    <row r="6">
      <c r="A6" s="60" t="n">
        <v>10</v>
      </c>
      <c r="B6" s="60" t="n">
        <v>20</v>
      </c>
      <c r="C6" s="60" t="n">
        <v>20</v>
      </c>
      <c r="D6" s="66">
        <f>(A6+B6)/2</f>
        <v/>
      </c>
      <c r="E6" s="66">
        <f>B6-A6</f>
        <v/>
      </c>
      <c r="F6" s="66">
        <f>C6/E6</f>
        <v/>
      </c>
      <c r="G6" s="66">
        <f>D6*C6</f>
        <v/>
      </c>
      <c r="H6" s="66">
        <f>D6^2*C6</f>
        <v/>
      </c>
      <c r="I6" s="66">
        <f>I5+C6</f>
        <v/>
      </c>
    </row>
    <row r="7">
      <c r="A7" s="60" t="n">
        <v>20</v>
      </c>
      <c r="B7" s="60" t="n">
        <v>40</v>
      </c>
      <c r="C7" s="60" t="n">
        <v>10</v>
      </c>
      <c r="D7" s="66">
        <f>(A7+B7)/2</f>
        <v/>
      </c>
      <c r="E7" s="66">
        <f>B7-A7</f>
        <v/>
      </c>
      <c r="F7" s="66">
        <f>C7/E7</f>
        <v/>
      </c>
      <c r="G7" s="66">
        <f>D7*C7</f>
        <v/>
      </c>
      <c r="H7" s="66">
        <f>D7^2*C7</f>
        <v/>
      </c>
      <c r="I7" s="66">
        <f>I6+C7</f>
        <v/>
      </c>
    </row>
    <row r="8">
      <c r="A8" s="60" t="n">
        <v>40</v>
      </c>
      <c r="B8" s="60" t="n">
        <v>50</v>
      </c>
      <c r="C8" s="60" t="n">
        <v>10</v>
      </c>
      <c r="D8" s="66">
        <f>(A8+B8)/2</f>
        <v/>
      </c>
      <c r="E8" s="66">
        <f>B8-A8</f>
        <v/>
      </c>
      <c r="F8" s="66">
        <f>C8/E8</f>
        <v/>
      </c>
      <c r="G8" s="66">
        <f>D8*C8</f>
        <v/>
      </c>
      <c r="H8" s="66">
        <f>D8^2*C8</f>
        <v/>
      </c>
      <c r="I8" s="66">
        <f>I7+C8</f>
        <v/>
      </c>
    </row>
    <row r="9">
      <c r="A9" s="32" t="inlineStr">
        <is>
          <t>Total</t>
        </is>
      </c>
      <c r="C9" s="67">
        <f>SUM(C5:C8)</f>
        <v/>
      </c>
      <c r="G9" s="67">
        <f>SUM(G5:G8)</f>
        <v/>
      </c>
      <c r="H9" s="67">
        <f>SUM(H5:H8)</f>
        <v/>
      </c>
    </row>
    <row r="10"/>
    <row r="11">
      <c r="A11" s="32" t="inlineStr">
        <is>
          <t>Media</t>
        </is>
      </c>
      <c r="B11" s="57">
        <f>G9/C9</f>
        <v/>
      </c>
      <c r="C11" s="58" t="inlineStr">
        <is>
          <t>→ =G9/C9</t>
        </is>
      </c>
    </row>
    <row r="12">
      <c r="A12" s="32" t="inlineStr">
        <is>
          <t>Varianza S²</t>
        </is>
      </c>
      <c r="B12" s="57">
        <f>H9/C9-B11^2</f>
        <v/>
      </c>
      <c r="C12" s="58" t="inlineStr">
        <is>
          <t>→ =H9/C9-B11^2</t>
        </is>
      </c>
    </row>
    <row r="13">
      <c r="A13" s="32" t="inlineStr">
        <is>
          <t>Desviación típica S</t>
        </is>
      </c>
      <c r="B13" s="57">
        <f>SQRT(B12)</f>
        <v/>
      </c>
      <c r="C13" s="58" t="inlineStr">
        <is>
          <t>→ =RAIZ(B12)</t>
        </is>
      </c>
    </row>
    <row r="14">
      <c r="A14" s="32" t="inlineStr">
        <is>
          <t>Coef. de variación CV</t>
        </is>
      </c>
      <c r="B14" s="57">
        <f>B13/B11</f>
        <v/>
      </c>
      <c r="C14" s="58" t="inlineStr">
        <is>
          <t>→ =B13/B11</t>
        </is>
      </c>
    </row>
    <row r="15">
      <c r="A15" s="32" t="inlineStr">
        <is>
          <t>España +1 %: media</t>
        </is>
      </c>
      <c r="B15" s="57">
        <f>1.01*B11</f>
        <v/>
      </c>
      <c r="C15" s="58" t="inlineStr">
        <is>
          <t>→ =1,01*B11</t>
        </is>
      </c>
    </row>
    <row r="16">
      <c r="A16" s="32" t="inlineStr">
        <is>
          <t>España +1 %: varianza</t>
        </is>
      </c>
      <c r="B16" s="57">
        <f>1.01^2*B12</f>
        <v/>
      </c>
      <c r="C16" s="58" t="inlineStr">
        <is>
          <t>→ =1,01^2*B12</t>
        </is>
      </c>
    </row>
    <row r="17">
      <c r="A17" s="71" t="inlineStr">
        <is>
          <t>Francia +10⁶ € = +1000 (miles): media +1000, varianza igual. CV Francia 0,64 &gt; España → más dispersión en Francia.</t>
        </is>
      </c>
    </row>
  </sheetData>
  <hyperlinks>
    <hyperlink ref="I1" location="'Inicio'!A1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17"/>
  <sheetViews>
    <sheetView tabSelected="0" zoomScale="11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54" t="inlineStr">
        <is>
          <t>Temas 1-2 · Ejercicio 9</t>
        </is>
      </c>
      <c r="I1" s="20" t="inlineStr">
        <is>
          <t>← Volver al inicio</t>
        </is>
      </c>
    </row>
    <row r="2">
      <c r="A2" s="55" t="inlineStr">
        <is>
          <t>Óxido de azufre: frecuencias en %</t>
        </is>
      </c>
    </row>
    <row r="3"/>
    <row r="4">
      <c r="A4" s="65" t="inlineStr">
        <is>
          <t>L inf</t>
        </is>
      </c>
      <c r="B4" s="65" t="inlineStr">
        <is>
          <t>L sup</t>
        </is>
      </c>
      <c r="C4" s="65" t="inlineStr">
        <is>
          <t>fᵢ</t>
        </is>
      </c>
      <c r="D4" s="65" t="inlineStr">
        <is>
          <t>Marca xᵢ</t>
        </is>
      </c>
      <c r="E4" s="65" t="inlineStr">
        <is>
          <t>Amplitud aᵢ</t>
        </is>
      </c>
      <c r="F4" s="65" t="inlineStr">
        <is>
          <t>Densidad dᵢ</t>
        </is>
      </c>
      <c r="G4" s="65" t="inlineStr">
        <is>
          <t>xᵢ·nᵢ</t>
        </is>
      </c>
      <c r="H4" s="65" t="inlineStr">
        <is>
          <t>xᵢ²·nᵢ</t>
        </is>
      </c>
      <c r="I4" s="65" t="inlineStr">
        <is>
          <t>Nᵢ (acum.)</t>
        </is>
      </c>
    </row>
    <row r="5">
      <c r="A5" s="60" t="n">
        <v>5</v>
      </c>
      <c r="B5" s="60" t="n">
        <v>9</v>
      </c>
      <c r="C5" s="60" t="n">
        <v>0.0375</v>
      </c>
      <c r="D5" s="66">
        <f>(A5+B5)/2</f>
        <v/>
      </c>
      <c r="E5" s="66">
        <f>B5-A5</f>
        <v/>
      </c>
      <c r="F5" s="66">
        <f>C5/E5</f>
        <v/>
      </c>
      <c r="G5" s="66">
        <f>D5*C5</f>
        <v/>
      </c>
      <c r="H5" s="66">
        <f>D5^2*C5</f>
        <v/>
      </c>
      <c r="I5" s="66">
        <f>C5</f>
        <v/>
      </c>
    </row>
    <row r="6">
      <c r="A6" s="60" t="n">
        <v>9</v>
      </c>
      <c r="B6" s="60" t="n">
        <v>13</v>
      </c>
      <c r="C6" s="60" t="n">
        <v>0.125</v>
      </c>
      <c r="D6" s="66">
        <f>(A6+B6)/2</f>
        <v/>
      </c>
      <c r="E6" s="66">
        <f>B6-A6</f>
        <v/>
      </c>
      <c r="F6" s="66">
        <f>C6/E6</f>
        <v/>
      </c>
      <c r="G6" s="66">
        <f>D6*C6</f>
        <v/>
      </c>
      <c r="H6" s="66">
        <f>D6^2*C6</f>
        <v/>
      </c>
      <c r="I6" s="66">
        <f>I5+C6</f>
        <v/>
      </c>
    </row>
    <row r="7">
      <c r="A7" s="60" t="n">
        <v>13</v>
      </c>
      <c r="B7" s="60" t="n">
        <v>17</v>
      </c>
      <c r="C7" s="60" t="n">
        <v>0.175</v>
      </c>
      <c r="D7" s="66">
        <f>(A7+B7)/2</f>
        <v/>
      </c>
      <c r="E7" s="66">
        <f>B7-A7</f>
        <v/>
      </c>
      <c r="F7" s="66">
        <f>C7/E7</f>
        <v/>
      </c>
      <c r="G7" s="66">
        <f>D7*C7</f>
        <v/>
      </c>
      <c r="H7" s="66">
        <f>D7^2*C7</f>
        <v/>
      </c>
      <c r="I7" s="66">
        <f>I6+C7</f>
        <v/>
      </c>
    </row>
    <row r="8">
      <c r="A8" s="60" t="n">
        <v>17</v>
      </c>
      <c r="B8" s="60" t="n">
        <v>21</v>
      </c>
      <c r="C8" s="60" t="n">
        <v>0.3125</v>
      </c>
      <c r="D8" s="66">
        <f>(A8+B8)/2</f>
        <v/>
      </c>
      <c r="E8" s="66">
        <f>B8-A8</f>
        <v/>
      </c>
      <c r="F8" s="66">
        <f>C8/E8</f>
        <v/>
      </c>
      <c r="G8" s="66">
        <f>D8*C8</f>
        <v/>
      </c>
      <c r="H8" s="66">
        <f>D8^2*C8</f>
        <v/>
      </c>
      <c r="I8" s="66">
        <f>I7+C8</f>
        <v/>
      </c>
    </row>
    <row r="9">
      <c r="A9" s="60" t="n">
        <v>21</v>
      </c>
      <c r="B9" s="60" t="n">
        <v>25</v>
      </c>
      <c r="C9" s="60" t="n">
        <v>0.2125</v>
      </c>
      <c r="D9" s="66">
        <f>(A9+B9)/2</f>
        <v/>
      </c>
      <c r="E9" s="66">
        <f>B9-A9</f>
        <v/>
      </c>
      <c r="F9" s="66">
        <f>C9/E9</f>
        <v/>
      </c>
      <c r="G9" s="66">
        <f>D9*C9</f>
        <v/>
      </c>
      <c r="H9" s="66">
        <f>D9^2*C9</f>
        <v/>
      </c>
      <c r="I9" s="66">
        <f>I8+C9</f>
        <v/>
      </c>
    </row>
    <row r="10">
      <c r="A10" s="60" t="n">
        <v>25</v>
      </c>
      <c r="B10" s="60" t="n">
        <v>29</v>
      </c>
      <c r="C10" s="60" t="n">
        <v>0.1125</v>
      </c>
      <c r="D10" s="66">
        <f>(A10+B10)/2</f>
        <v/>
      </c>
      <c r="E10" s="66">
        <f>B10-A10</f>
        <v/>
      </c>
      <c r="F10" s="66">
        <f>C10/E10</f>
        <v/>
      </c>
      <c r="G10" s="66">
        <f>D10*C10</f>
        <v/>
      </c>
      <c r="H10" s="66">
        <f>D10^2*C10</f>
        <v/>
      </c>
      <c r="I10" s="66">
        <f>I9+C10</f>
        <v/>
      </c>
    </row>
    <row r="11">
      <c r="A11" s="60" t="n">
        <v>29</v>
      </c>
      <c r="B11" s="60" t="n">
        <v>33</v>
      </c>
      <c r="C11" s="60" t="n">
        <v>0.025</v>
      </c>
      <c r="D11" s="66">
        <f>(A11+B11)/2</f>
        <v/>
      </c>
      <c r="E11" s="66">
        <f>B11-A11</f>
        <v/>
      </c>
      <c r="F11" s="66">
        <f>C11/E11</f>
        <v/>
      </c>
      <c r="G11" s="66">
        <f>D11*C11</f>
        <v/>
      </c>
      <c r="H11" s="66">
        <f>D11^2*C11</f>
        <v/>
      </c>
      <c r="I11" s="66">
        <f>I10+C11</f>
        <v/>
      </c>
    </row>
    <row r="12">
      <c r="A12" s="32" t="inlineStr">
        <is>
          <t>Total</t>
        </is>
      </c>
      <c r="C12" s="67">
        <f>SUM(C5:C11)</f>
        <v/>
      </c>
      <c r="G12" s="67">
        <f>SUM(G5:G11)</f>
        <v/>
      </c>
      <c r="H12" s="67">
        <f>SUM(H5:H11)</f>
        <v/>
      </c>
    </row>
    <row r="13"/>
    <row r="14">
      <c r="A14" s="32" t="inlineStr">
        <is>
          <t>Media</t>
        </is>
      </c>
      <c r="B14" s="57">
        <f>G12/C12</f>
        <v/>
      </c>
      <c r="C14" s="58" t="inlineStr">
        <is>
          <t>→ =G12/C12</t>
        </is>
      </c>
    </row>
    <row r="15">
      <c r="A15" s="32" t="inlineStr">
        <is>
          <t>Varianza S²</t>
        </is>
      </c>
      <c r="B15" s="57">
        <f>H12/C12-B14^2</f>
        <v/>
      </c>
      <c r="C15" s="58" t="inlineStr">
        <is>
          <t>→ =H12/C12-B14^2</t>
        </is>
      </c>
    </row>
    <row r="16">
      <c r="A16" s="32" t="inlineStr">
        <is>
          <t>Desviación típica S</t>
        </is>
      </c>
      <c r="B16" s="57">
        <f>SQRT(B15)</f>
        <v/>
      </c>
      <c r="C16" s="58" t="inlineStr">
        <is>
          <t>→ =RAIZ(B15)</t>
        </is>
      </c>
    </row>
    <row r="17">
      <c r="A17" s="32" t="inlineStr">
        <is>
          <t>Coef. de variación CV</t>
        </is>
      </c>
      <c r="B17" s="57">
        <f>B16/B14</f>
        <v/>
      </c>
      <c r="C17" s="58" t="inlineStr">
        <is>
          <t>→ =B16/B14</t>
        </is>
      </c>
    </row>
  </sheetData>
  <hyperlinks>
    <hyperlink ref="I1" location="'Inicio'!A1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18"/>
  <sheetViews>
    <sheetView tabSelected="0" zoomScale="11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54" t="inlineStr">
        <is>
          <t>Temas 1-2 · Ejercicio 10</t>
        </is>
      </c>
      <c r="I1" s="20" t="inlineStr">
        <is>
          <t>← Volver al inicio</t>
        </is>
      </c>
    </row>
    <row r="2">
      <c r="A2" s="55" t="inlineStr">
        <is>
          <t>Sueldos de 15 trabajadores (miles €)</t>
        </is>
      </c>
    </row>
    <row r="3"/>
    <row r="4">
      <c r="A4" s="65" t="inlineStr">
        <is>
          <t>xᵢ</t>
        </is>
      </c>
      <c r="B4" s="65" t="inlineStr">
        <is>
          <t>nᵢ</t>
        </is>
      </c>
      <c r="C4" s="65" t="inlineStr">
        <is>
          <t>fᵢ</t>
        </is>
      </c>
      <c r="D4" s="65" t="inlineStr">
        <is>
          <t>Nᵢ (acum.)</t>
        </is>
      </c>
      <c r="E4" s="65" t="inlineStr">
        <is>
          <t>xᵢ·nᵢ</t>
        </is>
      </c>
      <c r="F4" s="65" t="inlineStr">
        <is>
          <t>xᵢ²·nᵢ</t>
        </is>
      </c>
    </row>
    <row r="5">
      <c r="A5" s="60" t="n">
        <v>10</v>
      </c>
      <c r="B5" s="60" t="n">
        <v>3</v>
      </c>
      <c r="C5" s="61">
        <f>B5/$B$10</f>
        <v/>
      </c>
      <c r="D5" s="66">
        <f>B5</f>
        <v/>
      </c>
      <c r="E5" s="66">
        <f>A5*B5</f>
        <v/>
      </c>
      <c r="F5" s="66">
        <f>A5^2*B5</f>
        <v/>
      </c>
    </row>
    <row r="6">
      <c r="A6" s="60" t="n">
        <v>12</v>
      </c>
      <c r="B6" s="60" t="n">
        <v>5</v>
      </c>
      <c r="C6" s="61">
        <f>B6/$B$10</f>
        <v/>
      </c>
      <c r="D6" s="66">
        <f>D5+B6</f>
        <v/>
      </c>
      <c r="E6" s="66">
        <f>A6*B6</f>
        <v/>
      </c>
      <c r="F6" s="66">
        <f>A6^2*B6</f>
        <v/>
      </c>
    </row>
    <row r="7">
      <c r="A7" s="60" t="n">
        <v>15</v>
      </c>
      <c r="B7" s="60" t="n">
        <v>3</v>
      </c>
      <c r="C7" s="61">
        <f>B7/$B$10</f>
        <v/>
      </c>
      <c r="D7" s="66">
        <f>D6+B7</f>
        <v/>
      </c>
      <c r="E7" s="66">
        <f>A7*B7</f>
        <v/>
      </c>
      <c r="F7" s="66">
        <f>A7^2*B7</f>
        <v/>
      </c>
    </row>
    <row r="8">
      <c r="A8" s="60" t="n">
        <v>20</v>
      </c>
      <c r="B8" s="60" t="n">
        <v>3</v>
      </c>
      <c r="C8" s="61">
        <f>B8/$B$10</f>
        <v/>
      </c>
      <c r="D8" s="66">
        <f>D7+B8</f>
        <v/>
      </c>
      <c r="E8" s="66">
        <f>A8*B8</f>
        <v/>
      </c>
      <c r="F8" s="66">
        <f>A8^2*B8</f>
        <v/>
      </c>
    </row>
    <row r="9">
      <c r="A9" s="60" t="n">
        <v>30</v>
      </c>
      <c r="B9" s="60" t="n">
        <v>1</v>
      </c>
      <c r="C9" s="61">
        <f>B9/$B$10</f>
        <v/>
      </c>
      <c r="D9" s="66">
        <f>D8+B9</f>
        <v/>
      </c>
      <c r="E9" s="66">
        <f>A9*B9</f>
        <v/>
      </c>
      <c r="F9" s="66">
        <f>A9^2*B9</f>
        <v/>
      </c>
    </row>
    <row r="10">
      <c r="A10" s="32" t="inlineStr">
        <is>
          <t>Total</t>
        </is>
      </c>
      <c r="B10">
        <f>SUM(B5:B9)</f>
        <v/>
      </c>
      <c r="C10">
        <f>SUM(C5:C9)</f>
        <v/>
      </c>
      <c r="E10">
        <f>SUM(E5:E9)</f>
        <v/>
      </c>
      <c r="F10">
        <f>SUM(F5:F9)</f>
        <v/>
      </c>
    </row>
    <row r="11"/>
    <row r="12">
      <c r="A12" s="32" t="inlineStr">
        <is>
          <t>Media</t>
        </is>
      </c>
      <c r="B12" s="57">
        <f>E10/B10</f>
        <v/>
      </c>
      <c r="C12" s="58" t="inlineStr">
        <is>
          <t>→ =E10/B10</t>
        </is>
      </c>
    </row>
    <row r="13">
      <c r="A13" s="32" t="inlineStr">
        <is>
          <t>Varianza S²</t>
        </is>
      </c>
      <c r="B13" s="57">
        <f>F10/B10-B12^2</f>
        <v/>
      </c>
      <c r="C13" s="58" t="inlineStr">
        <is>
          <t>→ =F10/B10-B12^2</t>
        </is>
      </c>
    </row>
    <row r="14">
      <c r="A14" s="32" t="inlineStr">
        <is>
          <t>Desviación típica S</t>
        </is>
      </c>
      <c r="B14" s="57">
        <f>SQRT(B13)</f>
        <v/>
      </c>
      <c r="C14" s="58" t="inlineStr">
        <is>
          <t>→ =RAIZ(B13)</t>
        </is>
      </c>
    </row>
    <row r="15">
      <c r="A15" s="32" t="inlineStr">
        <is>
          <t>CV</t>
        </is>
      </c>
      <c r="B15" s="57">
        <f>B14/B12</f>
        <v/>
      </c>
      <c r="C15" s="58" t="inlineStr">
        <is>
          <t>→ =B14/B12</t>
        </is>
      </c>
    </row>
    <row r="16">
      <c r="A16" s="71" t="inlineStr">
        <is>
          <t>Mediana: n/2 = 7,5 → Nᵢ = 8 → 12. Moda: 12.</t>
        </is>
      </c>
    </row>
    <row r="17">
      <c r="A17" s="32" t="inlineStr">
        <is>
          <t>Media tras +5 %</t>
        </is>
      </c>
      <c r="B17" s="57">
        <f>1.05*B12</f>
        <v/>
      </c>
      <c r="C17" s="58" t="inlineStr">
        <is>
          <t>→ =1,05*B12</t>
        </is>
      </c>
    </row>
    <row r="18">
      <c r="A18" s="32" t="inlineStr">
        <is>
          <t>Varianza tras +5 %</t>
        </is>
      </c>
      <c r="B18" s="57">
        <f>1.05^2*B13</f>
        <v/>
      </c>
      <c r="C18" s="58" t="inlineStr">
        <is>
          <t>→ =1,05^2*B13</t>
        </is>
      </c>
    </row>
  </sheetData>
  <hyperlinks>
    <hyperlink ref="I1" location="'Inicio'!A1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17"/>
  <sheetViews>
    <sheetView tabSelected="0" zoomScale="11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54" t="inlineStr">
        <is>
          <t>Temas 1-2 · Ejercicio 11</t>
        </is>
      </c>
      <c r="I1" s="20" t="inlineStr">
        <is>
          <t>← Volver al inicio</t>
        </is>
      </c>
    </row>
    <row r="2">
      <c r="A2" s="55" t="inlineStr">
        <is>
          <t>Superficie de 200 apartamentos</t>
        </is>
      </c>
    </row>
    <row r="3"/>
    <row r="4">
      <c r="A4" s="65" t="inlineStr">
        <is>
          <t>L inf</t>
        </is>
      </c>
      <c r="B4" s="65" t="inlineStr">
        <is>
          <t>L sup</t>
        </is>
      </c>
      <c r="C4" s="65" t="inlineStr">
        <is>
          <t>nᵢ</t>
        </is>
      </c>
      <c r="D4" s="65" t="inlineStr">
        <is>
          <t>Marca xᵢ</t>
        </is>
      </c>
      <c r="E4" s="65" t="inlineStr">
        <is>
          <t>Amplitud aᵢ</t>
        </is>
      </c>
      <c r="F4" s="65" t="inlineStr">
        <is>
          <t>Densidad dᵢ</t>
        </is>
      </c>
      <c r="G4" s="65" t="inlineStr">
        <is>
          <t>xᵢ·nᵢ</t>
        </is>
      </c>
      <c r="H4" s="65" t="inlineStr">
        <is>
          <t>xᵢ²·nᵢ</t>
        </is>
      </c>
      <c r="I4" s="65" t="inlineStr">
        <is>
          <t>Nᵢ (acum.)</t>
        </is>
      </c>
    </row>
    <row r="5">
      <c r="A5" s="60" t="n">
        <v>40</v>
      </c>
      <c r="B5" s="60" t="n">
        <v>50</v>
      </c>
      <c r="C5" s="60" t="n">
        <v>50</v>
      </c>
      <c r="D5" s="66">
        <f>(A5+B5)/2</f>
        <v/>
      </c>
      <c r="E5" s="66">
        <f>B5-A5</f>
        <v/>
      </c>
      <c r="F5" s="66">
        <f>C5/E5</f>
        <v/>
      </c>
      <c r="G5" s="66">
        <f>D5*C5</f>
        <v/>
      </c>
      <c r="H5" s="66">
        <f>D5^2*C5</f>
        <v/>
      </c>
      <c r="I5" s="66">
        <f>C5</f>
        <v/>
      </c>
    </row>
    <row r="6">
      <c r="A6" s="60" t="n">
        <v>50</v>
      </c>
      <c r="B6" s="60" t="n">
        <v>60</v>
      </c>
      <c r="C6" s="60" t="n">
        <v>40</v>
      </c>
      <c r="D6" s="66">
        <f>(A6+B6)/2</f>
        <v/>
      </c>
      <c r="E6" s="66">
        <f>B6-A6</f>
        <v/>
      </c>
      <c r="F6" s="66">
        <f>C6/E6</f>
        <v/>
      </c>
      <c r="G6" s="66">
        <f>D6*C6</f>
        <v/>
      </c>
      <c r="H6" s="66">
        <f>D6^2*C6</f>
        <v/>
      </c>
      <c r="I6" s="66">
        <f>I5+C6</f>
        <v/>
      </c>
    </row>
    <row r="7">
      <c r="A7" s="60" t="n">
        <v>60</v>
      </c>
      <c r="B7" s="60" t="n">
        <v>80</v>
      </c>
      <c r="C7" s="60" t="n">
        <v>60</v>
      </c>
      <c r="D7" s="66">
        <f>(A7+B7)/2</f>
        <v/>
      </c>
      <c r="E7" s="66">
        <f>B7-A7</f>
        <v/>
      </c>
      <c r="F7" s="66">
        <f>C7/E7</f>
        <v/>
      </c>
      <c r="G7" s="66">
        <f>D7*C7</f>
        <v/>
      </c>
      <c r="H7" s="66">
        <f>D7^2*C7</f>
        <v/>
      </c>
      <c r="I7" s="66">
        <f>I6+C7</f>
        <v/>
      </c>
    </row>
    <row r="8">
      <c r="A8" s="60" t="n">
        <v>80</v>
      </c>
      <c r="B8" s="60" t="n">
        <v>100</v>
      </c>
      <c r="C8" s="60" t="n">
        <v>40</v>
      </c>
      <c r="D8" s="66">
        <f>(A8+B8)/2</f>
        <v/>
      </c>
      <c r="E8" s="66">
        <f>B8-A8</f>
        <v/>
      </c>
      <c r="F8" s="66">
        <f>C8/E8</f>
        <v/>
      </c>
      <c r="G8" s="66">
        <f>D8*C8</f>
        <v/>
      </c>
      <c r="H8" s="66">
        <f>D8^2*C8</f>
        <v/>
      </c>
      <c r="I8" s="66">
        <f>I7+C8</f>
        <v/>
      </c>
    </row>
    <row r="9">
      <c r="A9" s="60" t="n">
        <v>100</v>
      </c>
      <c r="B9" s="60" t="n">
        <v>120</v>
      </c>
      <c r="C9" s="60" t="n">
        <v>10</v>
      </c>
      <c r="D9" s="66">
        <f>(A9+B9)/2</f>
        <v/>
      </c>
      <c r="E9" s="66">
        <f>B9-A9</f>
        <v/>
      </c>
      <c r="F9" s="66">
        <f>C9/E9</f>
        <v/>
      </c>
      <c r="G9" s="66">
        <f>D9*C9</f>
        <v/>
      </c>
      <c r="H9" s="66">
        <f>D9^2*C9</f>
        <v/>
      </c>
      <c r="I9" s="66">
        <f>I8+C9</f>
        <v/>
      </c>
    </row>
    <row r="10">
      <c r="A10" s="32" t="inlineStr">
        <is>
          <t>Total</t>
        </is>
      </c>
      <c r="C10" s="67">
        <f>SUM(C5:C9)</f>
        <v/>
      </c>
      <c r="G10" s="67">
        <f>SUM(G5:G9)</f>
        <v/>
      </c>
      <c r="H10" s="67">
        <f>SUM(H5:H9)</f>
        <v/>
      </c>
    </row>
    <row r="11"/>
    <row r="12">
      <c r="A12" s="32" t="inlineStr">
        <is>
          <t>Media</t>
        </is>
      </c>
      <c r="B12" s="57">
        <f>G10/C10</f>
        <v/>
      </c>
      <c r="C12" s="58" t="inlineStr">
        <is>
          <t>→ =G10/C10</t>
        </is>
      </c>
    </row>
    <row r="13">
      <c r="A13" s="32" t="inlineStr">
        <is>
          <t>Varianza S²</t>
        </is>
      </c>
      <c r="B13" s="57">
        <f>H10/C10-B12^2</f>
        <v/>
      </c>
      <c r="C13" s="58" t="inlineStr">
        <is>
          <t>→ =H10/C10-B12^2</t>
        </is>
      </c>
    </row>
    <row r="14">
      <c r="A14" s="32" t="inlineStr">
        <is>
          <t>Desviación típica S</t>
        </is>
      </c>
      <c r="B14" s="57">
        <f>SQRT(B13)</f>
        <v/>
      </c>
      <c r="C14" s="58" t="inlineStr">
        <is>
          <t>→ =RAIZ(B13)</t>
        </is>
      </c>
    </row>
    <row r="15">
      <c r="A15" s="32" t="inlineStr">
        <is>
          <t>Coef. de variación CV</t>
        </is>
      </c>
      <c r="B15" s="57">
        <f>B14/B12</f>
        <v/>
      </c>
      <c r="C15" s="58" t="inlineStr">
        <is>
          <t>→ =B14/B12</t>
        </is>
      </c>
    </row>
    <row r="16">
      <c r="A16" s="32" t="inlineStr">
        <is>
          <t>Alquiler medio (10 €/m²)</t>
        </is>
      </c>
      <c r="B16" s="68">
        <f>10*B12</f>
        <v/>
      </c>
      <c r="C16" s="58" t="inlineStr">
        <is>
          <t>→ =10*B12</t>
        </is>
      </c>
    </row>
    <row r="17">
      <c r="A17" s="32" t="inlineStr">
        <is>
          <t>Moda (intervalos)</t>
        </is>
      </c>
      <c r="B17" s="57">
        <f>A5+(F5-0)/((F5-0)+(F5-F6))*E5</f>
        <v/>
      </c>
      <c r="C17" s="58" t="inlineStr">
        <is>
          <t>→ =A5+(F5-0)/((F5-0)+(F5-F6))*E5</t>
        </is>
      </c>
      <c r="F17" s="55" t="inlineStr">
        <is>
          <t>Intervalo modal: fila 5 (mayor densidad)</t>
        </is>
      </c>
    </row>
  </sheetData>
  <hyperlinks>
    <hyperlink ref="I1" location="'Inicio'!A1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14"/>
  <sheetViews>
    <sheetView tabSelected="0" zoomScale="11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54" t="inlineStr">
        <is>
          <t>Temas 1-2 · Ejercicio 12</t>
        </is>
      </c>
      <c r="I1" s="20" t="inlineStr">
        <is>
          <t>← Volver al inicio</t>
        </is>
      </c>
    </row>
    <row r="2">
      <c r="A2" s="55" t="inlineStr">
        <is>
          <t>Puntuaciones de 500 empleados</t>
        </is>
      </c>
    </row>
    <row r="3"/>
    <row r="4">
      <c r="A4" s="65" t="inlineStr">
        <is>
          <t>L inf</t>
        </is>
      </c>
      <c r="B4" s="65" t="inlineStr">
        <is>
          <t>L sup</t>
        </is>
      </c>
      <c r="C4" s="65" t="inlineStr">
        <is>
          <t>nᵢ</t>
        </is>
      </c>
      <c r="D4" s="65" t="inlineStr">
        <is>
          <t>Marca xᵢ</t>
        </is>
      </c>
      <c r="E4" s="65" t="inlineStr">
        <is>
          <t>Amplitud aᵢ</t>
        </is>
      </c>
      <c r="F4" s="65" t="inlineStr">
        <is>
          <t>Densidad dᵢ</t>
        </is>
      </c>
      <c r="G4" s="65" t="inlineStr">
        <is>
          <t>xᵢ·nᵢ</t>
        </is>
      </c>
      <c r="H4" s="65" t="inlineStr">
        <is>
          <t>xᵢ²·nᵢ</t>
        </is>
      </c>
      <c r="I4" s="65" t="inlineStr">
        <is>
          <t>Nᵢ (acum.)</t>
        </is>
      </c>
    </row>
    <row r="5">
      <c r="A5" s="60" t="n">
        <v>0</v>
      </c>
      <c r="B5" s="60" t="n">
        <v>30</v>
      </c>
      <c r="C5" s="60" t="n">
        <v>94</v>
      </c>
      <c r="D5" s="66">
        <f>(A5+B5)/2</f>
        <v/>
      </c>
      <c r="E5" s="66">
        <f>B5-A5</f>
        <v/>
      </c>
      <c r="F5" s="66">
        <f>C5/E5</f>
        <v/>
      </c>
      <c r="G5" s="66">
        <f>D5*C5</f>
        <v/>
      </c>
      <c r="H5" s="66">
        <f>D5^2*C5</f>
        <v/>
      </c>
      <c r="I5" s="66">
        <f>C5</f>
        <v/>
      </c>
    </row>
    <row r="6">
      <c r="A6" s="60" t="n">
        <v>30</v>
      </c>
      <c r="B6" s="60" t="n">
        <v>50</v>
      </c>
      <c r="C6" s="60" t="n">
        <v>140</v>
      </c>
      <c r="D6" s="66">
        <f>(A6+B6)/2</f>
        <v/>
      </c>
      <c r="E6" s="66">
        <f>B6-A6</f>
        <v/>
      </c>
      <c r="F6" s="66">
        <f>C6/E6</f>
        <v/>
      </c>
      <c r="G6" s="66">
        <f>D6*C6</f>
        <v/>
      </c>
      <c r="H6" s="66">
        <f>D6^2*C6</f>
        <v/>
      </c>
      <c r="I6" s="66">
        <f>I5+C6</f>
        <v/>
      </c>
    </row>
    <row r="7">
      <c r="A7" s="60" t="n">
        <v>50</v>
      </c>
      <c r="B7" s="60" t="n">
        <v>70</v>
      </c>
      <c r="C7" s="60" t="n">
        <v>160</v>
      </c>
      <c r="D7" s="66">
        <f>(A7+B7)/2</f>
        <v/>
      </c>
      <c r="E7" s="66">
        <f>B7-A7</f>
        <v/>
      </c>
      <c r="F7" s="66">
        <f>C7/E7</f>
        <v/>
      </c>
      <c r="G7" s="66">
        <f>D7*C7</f>
        <v/>
      </c>
      <c r="H7" s="66">
        <f>D7^2*C7</f>
        <v/>
      </c>
      <c r="I7" s="66">
        <f>I6+C7</f>
        <v/>
      </c>
    </row>
    <row r="8">
      <c r="A8" s="60" t="n">
        <v>70</v>
      </c>
      <c r="B8" s="60" t="n">
        <v>90</v>
      </c>
      <c r="C8" s="60" t="n">
        <v>98</v>
      </c>
      <c r="D8" s="66">
        <f>(A8+B8)/2</f>
        <v/>
      </c>
      <c r="E8" s="66">
        <f>B8-A8</f>
        <v/>
      </c>
      <c r="F8" s="66">
        <f>C8/E8</f>
        <v/>
      </c>
      <c r="G8" s="66">
        <f>D8*C8</f>
        <v/>
      </c>
      <c r="H8" s="66">
        <f>D8^2*C8</f>
        <v/>
      </c>
      <c r="I8" s="66">
        <f>I7+C8</f>
        <v/>
      </c>
    </row>
    <row r="9">
      <c r="A9" s="60" t="n">
        <v>90</v>
      </c>
      <c r="B9" s="60" t="n">
        <v>100</v>
      </c>
      <c r="C9" s="60" t="n">
        <v>8</v>
      </c>
      <c r="D9" s="66">
        <f>(A9+B9)/2</f>
        <v/>
      </c>
      <c r="E9" s="66">
        <f>B9-A9</f>
        <v/>
      </c>
      <c r="F9" s="66">
        <f>C9/E9</f>
        <v/>
      </c>
      <c r="G9" s="66">
        <f>D9*C9</f>
        <v/>
      </c>
      <c r="H9" s="66">
        <f>D9^2*C9</f>
        <v/>
      </c>
      <c r="I9" s="66">
        <f>I8+C9</f>
        <v/>
      </c>
    </row>
    <row r="10">
      <c r="A10" s="32" t="inlineStr">
        <is>
          <t>Total</t>
        </is>
      </c>
      <c r="C10" s="67">
        <f>SUM(C5:C9)</f>
        <v/>
      </c>
      <c r="G10" s="67">
        <f>SUM(G5:G9)</f>
        <v/>
      </c>
      <c r="H10" s="67">
        <f>SUM(H5:H9)</f>
        <v/>
      </c>
    </row>
    <row r="11"/>
    <row r="12">
      <c r="A12" s="32" t="inlineStr">
        <is>
          <t>P₆₅ (jefe de sección)</t>
        </is>
      </c>
      <c r="B12" s="57">
        <f>A7+(0.65*C10-I6)/C7*E7</f>
        <v/>
      </c>
      <c r="C12" s="58" t="inlineStr">
        <is>
          <t>→ =A7+(0,65*C10-I6)/C7*E7</t>
        </is>
      </c>
      <c r="F12" s="55" t="inlineStr">
        <is>
          <t>Intervalo de la fila 7</t>
        </is>
      </c>
    </row>
    <row r="13">
      <c r="A13" s="32" t="inlineStr">
        <is>
          <t>P₈₅ (jefe de departamento)</t>
        </is>
      </c>
      <c r="B13" s="57">
        <f>A8+(0.85*C10-I7)/C8*E8</f>
        <v/>
      </c>
      <c r="C13" s="58" t="inlineStr">
        <is>
          <t>→ =A8+(0,85*C10-I7)/C8*E8</t>
        </is>
      </c>
      <c r="F13" s="55" t="inlineStr">
        <is>
          <t>Intervalo de la fila 8</t>
        </is>
      </c>
    </row>
    <row r="14">
      <c r="A14" s="32" t="inlineStr">
        <is>
          <t>P₉₅ (inspector)</t>
        </is>
      </c>
      <c r="B14" s="57">
        <f>A8+(0.95*C10-I7)/C8*E8</f>
        <v/>
      </c>
      <c r="C14" s="58" t="inlineStr">
        <is>
          <t>→ =A8+(0,95*C10-I7)/C8*E8</t>
        </is>
      </c>
      <c r="F14" s="55" t="inlineStr">
        <is>
          <t>Intervalo de la fila 8</t>
        </is>
      </c>
    </row>
  </sheetData>
  <hyperlinks>
    <hyperlink ref="I1" location="'Inicio'!A1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31"/>
  <sheetViews>
    <sheetView tabSelected="0" zoomScale="11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54" t="inlineStr">
        <is>
          <t>Temas 1-2 · Ejercicio 13</t>
        </is>
      </c>
      <c r="I1" s="20" t="inlineStr">
        <is>
          <t>← Volver al inicio</t>
        </is>
      </c>
    </row>
    <row r="2">
      <c r="A2" s="55" t="inlineStr">
        <is>
          <t>Viviendas: Pontevedra y Galicia</t>
        </is>
      </c>
    </row>
    <row r="3"/>
    <row r="4">
      <c r="A4" s="65" t="inlineStr">
        <is>
          <t>L inf</t>
        </is>
      </c>
      <c r="B4" s="65" t="inlineStr">
        <is>
          <t>L sup</t>
        </is>
      </c>
      <c r="C4" s="65" t="inlineStr">
        <is>
          <t>nᵢ</t>
        </is>
      </c>
      <c r="D4" s="65" t="inlineStr">
        <is>
          <t>Marca xᵢ</t>
        </is>
      </c>
      <c r="E4" s="65" t="inlineStr">
        <is>
          <t>Amplitud aᵢ</t>
        </is>
      </c>
      <c r="F4" s="65" t="inlineStr">
        <is>
          <t>Densidad dᵢ</t>
        </is>
      </c>
      <c r="G4" s="65" t="inlineStr">
        <is>
          <t>xᵢ·nᵢ</t>
        </is>
      </c>
      <c r="H4" s="65" t="inlineStr">
        <is>
          <t>xᵢ²·nᵢ</t>
        </is>
      </c>
      <c r="I4" s="65" t="inlineStr">
        <is>
          <t>Nᵢ (acum.)</t>
        </is>
      </c>
    </row>
    <row r="5">
      <c r="A5" s="60" t="n">
        <v>20</v>
      </c>
      <c r="B5" s="60" t="n">
        <v>40</v>
      </c>
      <c r="C5" s="60" t="n">
        <v>4</v>
      </c>
      <c r="D5" s="66">
        <f>(A5+B5)/2</f>
        <v/>
      </c>
      <c r="E5" s="66">
        <f>B5-A5</f>
        <v/>
      </c>
      <c r="F5" s="66">
        <f>C5/E5</f>
        <v/>
      </c>
      <c r="G5" s="66">
        <f>D5*C5</f>
        <v/>
      </c>
      <c r="H5" s="66">
        <f>D5^2*C5</f>
        <v/>
      </c>
      <c r="I5" s="66">
        <f>C5</f>
        <v/>
      </c>
    </row>
    <row r="6">
      <c r="A6" s="60" t="n">
        <v>40</v>
      </c>
      <c r="B6" s="60" t="n">
        <v>60</v>
      </c>
      <c r="C6" s="60" t="n">
        <v>12</v>
      </c>
      <c r="D6" s="66">
        <f>(A6+B6)/2</f>
        <v/>
      </c>
      <c r="E6" s="66">
        <f>B6-A6</f>
        <v/>
      </c>
      <c r="F6" s="66">
        <f>C6/E6</f>
        <v/>
      </c>
      <c r="G6" s="66">
        <f>D6*C6</f>
        <v/>
      </c>
      <c r="H6" s="66">
        <f>D6^2*C6</f>
        <v/>
      </c>
      <c r="I6" s="66">
        <f>I5+C6</f>
        <v/>
      </c>
    </row>
    <row r="7">
      <c r="A7" s="60" t="n">
        <v>60</v>
      </c>
      <c r="B7" s="60" t="n">
        <v>90</v>
      </c>
      <c r="C7" s="60" t="n">
        <v>51</v>
      </c>
      <c r="D7" s="66">
        <f>(A7+B7)/2</f>
        <v/>
      </c>
      <c r="E7" s="66">
        <f>B7-A7</f>
        <v/>
      </c>
      <c r="F7" s="66">
        <f>C7/E7</f>
        <v/>
      </c>
      <c r="G7" s="66">
        <f>D7*C7</f>
        <v/>
      </c>
      <c r="H7" s="66">
        <f>D7^2*C7</f>
        <v/>
      </c>
      <c r="I7" s="66">
        <f>I6+C7</f>
        <v/>
      </c>
    </row>
    <row r="8">
      <c r="A8" s="60" t="n">
        <v>90</v>
      </c>
      <c r="B8" s="60" t="n">
        <v>120</v>
      </c>
      <c r="C8" s="60" t="n">
        <v>19</v>
      </c>
      <c r="D8" s="66">
        <f>(A8+B8)/2</f>
        <v/>
      </c>
      <c r="E8" s="66">
        <f>B8-A8</f>
        <v/>
      </c>
      <c r="F8" s="66">
        <f>C8/E8</f>
        <v/>
      </c>
      <c r="G8" s="66">
        <f>D8*C8</f>
        <v/>
      </c>
      <c r="H8" s="66">
        <f>D8^2*C8</f>
        <v/>
      </c>
      <c r="I8" s="66">
        <f>I7+C8</f>
        <v/>
      </c>
    </row>
    <row r="9">
      <c r="A9" s="60" t="n">
        <v>120</v>
      </c>
      <c r="B9" s="60" t="n">
        <v>150</v>
      </c>
      <c r="C9" s="60" t="n">
        <v>10</v>
      </c>
      <c r="D9" s="66">
        <f>(A9+B9)/2</f>
        <v/>
      </c>
      <c r="E9" s="66">
        <f>B9-A9</f>
        <v/>
      </c>
      <c r="F9" s="66">
        <f>C9/E9</f>
        <v/>
      </c>
      <c r="G9" s="66">
        <f>D9*C9</f>
        <v/>
      </c>
      <c r="H9" s="66">
        <f>D9^2*C9</f>
        <v/>
      </c>
      <c r="I9" s="66">
        <f>I8+C9</f>
        <v/>
      </c>
    </row>
    <row r="10">
      <c r="A10" s="60" t="n">
        <v>150</v>
      </c>
      <c r="B10" s="60" t="n">
        <v>300</v>
      </c>
      <c r="C10" s="60" t="n">
        <v>14</v>
      </c>
      <c r="D10" s="66">
        <f>(A10+B10)/2</f>
        <v/>
      </c>
      <c r="E10" s="66">
        <f>B10-A10</f>
        <v/>
      </c>
      <c r="F10" s="66">
        <f>C10/E10</f>
        <v/>
      </c>
      <c r="G10" s="66">
        <f>D10*C10</f>
        <v/>
      </c>
      <c r="H10" s="66">
        <f>D10^2*C10</f>
        <v/>
      </c>
      <c r="I10" s="66">
        <f>I9+C10</f>
        <v/>
      </c>
    </row>
    <row r="11">
      <c r="A11" s="32" t="inlineStr">
        <is>
          <t>Total</t>
        </is>
      </c>
      <c r="C11" s="67">
        <f>SUM(C5:C10)</f>
        <v/>
      </c>
      <c r="G11" s="67">
        <f>SUM(G5:G10)</f>
        <v/>
      </c>
      <c r="H11" s="67">
        <f>SUM(H5:H10)</f>
        <v/>
      </c>
    </row>
    <row r="12"/>
    <row r="13">
      <c r="A13" s="32" t="inlineStr">
        <is>
          <t>Media</t>
        </is>
      </c>
      <c r="B13" s="57">
        <f>G11/C11</f>
        <v/>
      </c>
      <c r="C13" s="58" t="inlineStr">
        <is>
          <t>→ =G11/C11</t>
        </is>
      </c>
    </row>
    <row r="14">
      <c r="A14" s="32" t="inlineStr">
        <is>
          <t>Varianza S²</t>
        </is>
      </c>
      <c r="B14" s="57">
        <f>H11/C11-B13^2</f>
        <v/>
      </c>
      <c r="C14" s="58" t="inlineStr">
        <is>
          <t>→ =H11/C11-B13^2</t>
        </is>
      </c>
    </row>
    <row r="15">
      <c r="A15" s="32" t="inlineStr">
        <is>
          <t>Desviación típica S</t>
        </is>
      </c>
      <c r="B15" s="57">
        <f>SQRT(B14)</f>
        <v/>
      </c>
      <c r="C15" s="58" t="inlineStr">
        <is>
          <t>→ =RAIZ(B14)</t>
        </is>
      </c>
    </row>
    <row r="16">
      <c r="A16" s="32" t="inlineStr">
        <is>
          <t>Coef. de variación CV</t>
        </is>
      </c>
      <c r="B16" s="57">
        <f>B15/B13</f>
        <v/>
      </c>
      <c r="C16" s="58" t="inlineStr">
        <is>
          <t>→ =B15/B13</t>
        </is>
      </c>
    </row>
    <row r="17">
      <c r="A17" s="32" t="inlineStr">
        <is>
          <t>Moda (intervalos)</t>
        </is>
      </c>
      <c r="B17" s="57">
        <f>A7+(F7-F6)/((F7-F6)+(F7-F8))*E7</f>
        <v/>
      </c>
      <c r="C17" s="58" t="inlineStr">
        <is>
          <t>→ =A7+(F7-F6)/((F7-F6)+(F7-F8))*E7</t>
        </is>
      </c>
      <c r="F17" s="55" t="inlineStr">
        <is>
          <t>Intervalo modal: fila 7 (mayor densidad)</t>
        </is>
      </c>
    </row>
    <row r="18">
      <c r="A18" s="32" t="inlineStr">
        <is>
          <t>P₃₅</t>
        </is>
      </c>
      <c r="B18" s="57">
        <f>A7+(0.35*C11-I6)/C7*E7</f>
        <v/>
      </c>
      <c r="C18" s="58" t="inlineStr">
        <is>
          <t>→ =A7+(0,35*C11-I6)/C7*E7</t>
        </is>
      </c>
      <c r="F18" s="55" t="inlineStr">
        <is>
          <t>Intervalo de la fila 7</t>
        </is>
      </c>
    </row>
    <row r="19">
      <c r="A19" s="32" t="inlineStr">
        <is>
          <t>P₆₅</t>
        </is>
      </c>
      <c r="B19" s="57">
        <f>A8+(0.65*C11-I7)/C8*E8</f>
        <v/>
      </c>
      <c r="C19" s="58" t="inlineStr">
        <is>
          <t>→ =A8+(0,65*C11-I7)/C8*E8</t>
        </is>
      </c>
      <c r="F19" s="55" t="inlineStr">
        <is>
          <t>Intervalo de la fila 8</t>
        </is>
      </c>
    </row>
    <row r="20"/>
    <row r="21">
      <c r="A21" s="64" t="inlineStr">
        <is>
          <t>Galicia (subpoblaciones)</t>
        </is>
      </c>
    </row>
    <row r="22">
      <c r="A22" s="65" t="inlineStr">
        <is>
          <t>Provincia</t>
        </is>
      </c>
      <c r="B22" s="65" t="inlineStr">
        <is>
          <t>T</t>
        </is>
      </c>
      <c r="C22" s="65" t="inlineStr">
        <is>
          <t>Media</t>
        </is>
      </c>
      <c r="D22" s="65" t="inlineStr">
        <is>
          <t>Desv. típica</t>
        </is>
      </c>
      <c r="E22" s="65" t="inlineStr">
        <is>
          <t>Varianza</t>
        </is>
      </c>
      <c r="F22" s="65" t="inlineStr">
        <is>
          <t>(media−global)²·T</t>
        </is>
      </c>
    </row>
    <row r="23">
      <c r="A23" s="61" t="inlineStr">
        <is>
          <t>Pontevedra</t>
        </is>
      </c>
      <c r="B23" s="75">
        <f>C11</f>
        <v/>
      </c>
      <c r="C23" s="75">
        <f>B13</f>
        <v/>
      </c>
      <c r="D23" s="75">
        <f>B15</f>
        <v/>
      </c>
      <c r="E23" s="66">
        <f>D23^2</f>
        <v/>
      </c>
      <c r="F23" s="61">
        <f>(C23-$B$27)^2*B23</f>
        <v/>
      </c>
    </row>
    <row r="24">
      <c r="A24" s="61" t="inlineStr">
        <is>
          <t>A Coruña</t>
        </is>
      </c>
      <c r="B24" s="60" t="n">
        <v>203</v>
      </c>
      <c r="C24" s="60" t="n">
        <v>102.2</v>
      </c>
      <c r="D24" s="60" t="n">
        <v>55.3</v>
      </c>
      <c r="E24" s="66">
        <f>D24^2</f>
        <v/>
      </c>
      <c r="F24" s="61">
        <f>(C24-$B$27)^2*B24</f>
        <v/>
      </c>
    </row>
    <row r="25">
      <c r="A25" s="61" t="inlineStr">
        <is>
          <t>Lugo</t>
        </is>
      </c>
      <c r="B25" s="60" t="n">
        <v>46</v>
      </c>
      <c r="C25" s="60" t="n">
        <v>101.1</v>
      </c>
      <c r="D25" s="60" t="n">
        <v>48.2</v>
      </c>
      <c r="E25" s="66">
        <f>D25^2</f>
        <v/>
      </c>
      <c r="F25" s="61">
        <f>(C25-$B$27)^2*B25</f>
        <v/>
      </c>
    </row>
    <row r="26">
      <c r="A26" s="61" t="inlineStr">
        <is>
          <t>Ourense</t>
        </is>
      </c>
      <c r="B26" s="60" t="n">
        <v>41</v>
      </c>
      <c r="C26" s="60" t="n">
        <v>105.7</v>
      </c>
      <c r="D26" s="60" t="n">
        <v>51</v>
      </c>
      <c r="E26" s="66">
        <f>D26^2</f>
        <v/>
      </c>
      <c r="F26" s="61">
        <f>(C26-$B$27)^2*B26</f>
        <v/>
      </c>
    </row>
    <row r="27">
      <c r="A27" s="32" t="inlineStr">
        <is>
          <t>Media Galicia</t>
        </is>
      </c>
      <c r="B27" s="57">
        <f>SUMPRODUCT(B23:B26,C23:C26)/SUM(B23:B26)</f>
        <v/>
      </c>
      <c r="C27" s="58" t="inlineStr">
        <is>
          <t>→ =SUMAPRODUCTO(B23:B26;C23:C26)/SUMA(B23:B26)</t>
        </is>
      </c>
    </row>
    <row r="28">
      <c r="A28" s="32" t="inlineStr">
        <is>
          <t>Varianza dentro</t>
        </is>
      </c>
      <c r="B28" s="57">
        <f>SUMPRODUCT(B23:B26,E23:E26)/SUM(B23:B26)</f>
        <v/>
      </c>
      <c r="C28" s="58" t="inlineStr">
        <is>
          <t>→ =SUMAPRODUCTO(B23:B26;E23:E26)/SUMA(B23:B26)</t>
        </is>
      </c>
    </row>
    <row r="29">
      <c r="A29" s="32" t="inlineStr">
        <is>
          <t>Varianza entre</t>
        </is>
      </c>
      <c r="B29" s="57">
        <f>SUM(F23:F26)/SUM(B23:B26)</f>
        <v/>
      </c>
      <c r="C29" s="58" t="inlineStr">
        <is>
          <t>→ =SUMA(F23:F26)/SUMA(B23:B26)</t>
        </is>
      </c>
    </row>
    <row r="30">
      <c r="A30" s="32" t="inlineStr">
        <is>
          <t>Varianza Galicia</t>
        </is>
      </c>
      <c r="B30" s="57">
        <f>B28+B29</f>
        <v/>
      </c>
      <c r="C30" s="58" t="inlineStr">
        <is>
          <t>→ =B28+B29</t>
        </is>
      </c>
    </row>
    <row r="31">
      <c r="A31" s="32" t="inlineStr">
        <is>
          <t>Desv. típica Galicia</t>
        </is>
      </c>
      <c r="B31" s="57">
        <f>SQRT(B30)</f>
        <v/>
      </c>
      <c r="C31" s="58" t="inlineStr">
        <is>
          <t>→ =RAIZ(B30)</t>
        </is>
      </c>
    </row>
  </sheetData>
  <hyperlinks>
    <hyperlink ref="I1" location="'Inicio'!A1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13"/>
  <sheetViews>
    <sheetView tabSelected="0" zoomScale="11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54" t="inlineStr">
        <is>
          <t>Temas 1-2 · Ejercicio 14</t>
        </is>
      </c>
      <c r="I1" s="20" t="inlineStr">
        <is>
          <t>← Volver al inicio</t>
        </is>
      </c>
    </row>
    <row r="2">
      <c r="A2" s="55" t="inlineStr">
        <is>
          <t>Salarios por categoría (miles €)</t>
        </is>
      </c>
    </row>
    <row r="3"/>
    <row r="4">
      <c r="A4" s="65" t="inlineStr">
        <is>
          <t>Categoría</t>
        </is>
      </c>
      <c r="B4" s="65" t="inlineStr">
        <is>
          <t>Nº</t>
        </is>
      </c>
      <c r="C4" s="65" t="inlineStr">
        <is>
          <t>Media</t>
        </is>
      </c>
      <c r="D4" s="65" t="inlineStr">
        <is>
          <t>Desv. típica</t>
        </is>
      </c>
      <c r="E4" s="65" t="inlineStr">
        <is>
          <t>CV</t>
        </is>
      </c>
      <c r="F4" s="65" t="inlineStr">
        <is>
          <t>Varianza</t>
        </is>
      </c>
      <c r="G4" s="65" t="inlineStr">
        <is>
          <t>(media−global)²·T</t>
        </is>
      </c>
    </row>
    <row r="5">
      <c r="A5" s="61" t="inlineStr">
        <is>
          <t>Técnicos</t>
        </is>
      </c>
      <c r="B5" s="60" t="n">
        <v>30</v>
      </c>
      <c r="C5" s="60" t="n">
        <v>30</v>
      </c>
      <c r="D5" s="60" t="n">
        <v>7</v>
      </c>
      <c r="E5" s="66">
        <f>D5/C5</f>
        <v/>
      </c>
      <c r="F5" s="66">
        <f>D5^2</f>
        <v/>
      </c>
      <c r="G5" s="61">
        <f>(C5-$B$8)^2*B5</f>
        <v/>
      </c>
    </row>
    <row r="6">
      <c r="A6" s="61" t="inlineStr">
        <is>
          <t>Administrativos</t>
        </is>
      </c>
      <c r="B6" s="60" t="n">
        <v>50</v>
      </c>
      <c r="C6" s="60" t="n">
        <v>15</v>
      </c>
      <c r="D6" s="60" t="n">
        <v>2.25</v>
      </c>
      <c r="E6" s="66">
        <f>D6/C6</f>
        <v/>
      </c>
      <c r="F6" s="66">
        <f>D6^2</f>
        <v/>
      </c>
      <c r="G6" s="61">
        <f>(C6-$B$8)^2*B6</f>
        <v/>
      </c>
    </row>
    <row r="7">
      <c r="A7" s="61" t="inlineStr">
        <is>
          <t>Operarios</t>
        </is>
      </c>
      <c r="B7" s="60" t="n">
        <v>120</v>
      </c>
      <c r="C7" s="60" t="n">
        <v>20</v>
      </c>
      <c r="D7" s="60" t="n">
        <v>4.24</v>
      </c>
      <c r="E7" s="66">
        <f>D7/C7</f>
        <v/>
      </c>
      <c r="F7" s="66">
        <f>D7^2</f>
        <v/>
      </c>
      <c r="G7" s="61">
        <f>(C7-$B$8)^2*B7</f>
        <v/>
      </c>
    </row>
    <row r="8">
      <c r="A8" s="32" t="inlineStr">
        <is>
          <t>Media global</t>
        </is>
      </c>
      <c r="B8" s="57">
        <f>SUMPRODUCT(B5:B7,C5:C7)/SUM(B5:B7)</f>
        <v/>
      </c>
      <c r="C8" s="58" t="inlineStr">
        <is>
          <t>→ =SUMAPRODUCTO(B5:B7;C5:C7)/SUMA(B5:B7)</t>
        </is>
      </c>
    </row>
    <row r="9">
      <c r="A9" s="32" t="inlineStr">
        <is>
          <t>Varianza dentro</t>
        </is>
      </c>
      <c r="B9" s="57">
        <f>SUMPRODUCT(B5:B7,F5:F7)/SUM(B5:B7)</f>
        <v/>
      </c>
      <c r="C9" s="58" t="inlineStr">
        <is>
          <t>→ =SUMAPRODUCTO(B5:B7;F5:F7)/SUMA(B5:B7)</t>
        </is>
      </c>
    </row>
    <row r="10">
      <c r="A10" s="32" t="inlineStr">
        <is>
          <t>Varianza entre</t>
        </is>
      </c>
      <c r="B10" s="57">
        <f>SUM(G5:G7)/SUM(B5:B7)</f>
        <v/>
      </c>
      <c r="C10" s="58" t="inlineStr">
        <is>
          <t>→ =SUMA(G5:G7)/SUMA(B5:B7)</t>
        </is>
      </c>
    </row>
    <row r="11">
      <c r="A11" s="32" t="inlineStr">
        <is>
          <t>Varianza total</t>
        </is>
      </c>
      <c r="B11" s="57">
        <f>B9+B10</f>
        <v/>
      </c>
      <c r="C11" s="58" t="inlineStr">
        <is>
          <t>→ =B9+B10</t>
        </is>
      </c>
    </row>
    <row r="12">
      <c r="A12" s="32" t="inlineStr">
        <is>
          <t>Desv. típica total</t>
        </is>
      </c>
      <c r="B12" s="57">
        <f>SQRT(B11)</f>
        <v/>
      </c>
      <c r="C12" s="58" t="inlineStr">
        <is>
          <t>→ =RAIZ(B11)</t>
        </is>
      </c>
    </row>
    <row r="13">
      <c r="A13" s="71" t="inlineStr">
        <is>
          <t>Menor CV → administrativos: los más homogéneos.</t>
        </is>
      </c>
    </row>
  </sheetData>
  <hyperlinks>
    <hyperlink ref="I1" location="'Inicio'!A1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26"/>
  <sheetViews>
    <sheetView tabSelected="0" zoomScale="11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54" t="inlineStr">
        <is>
          <t>Temas 1-2 · Ejercicio 15</t>
        </is>
      </c>
      <c r="I1" s="20" t="inlineStr">
        <is>
          <t>← Volver al inicio</t>
        </is>
      </c>
    </row>
    <row r="2">
      <c r="A2" s="55" t="inlineStr">
        <is>
          <t>Hogares: personas (X) y superficie (Y)</t>
        </is>
      </c>
    </row>
    <row r="3"/>
    <row r="4">
      <c r="A4" s="64" t="inlineStr">
        <is>
          <t>Marginal de Y (superficie)</t>
        </is>
      </c>
    </row>
    <row r="5">
      <c r="A5" s="65" t="inlineStr">
        <is>
          <t>L inf</t>
        </is>
      </c>
      <c r="B5" s="65" t="inlineStr">
        <is>
          <t>L sup</t>
        </is>
      </c>
      <c r="C5" s="65" t="inlineStr">
        <is>
          <t>nᵢ</t>
        </is>
      </c>
      <c r="D5" s="65" t="inlineStr">
        <is>
          <t>Marca xᵢ</t>
        </is>
      </c>
      <c r="E5" s="65" t="inlineStr">
        <is>
          <t>Amplitud aᵢ</t>
        </is>
      </c>
      <c r="F5" s="65" t="inlineStr">
        <is>
          <t>Densidad dᵢ</t>
        </is>
      </c>
      <c r="G5" s="65" t="inlineStr">
        <is>
          <t>xᵢ·nᵢ</t>
        </is>
      </c>
      <c r="H5" s="65" t="inlineStr">
        <is>
          <t>xᵢ²·nᵢ</t>
        </is>
      </c>
      <c r="I5" s="65" t="inlineStr">
        <is>
          <t>Nᵢ (acum.)</t>
        </is>
      </c>
    </row>
    <row r="6">
      <c r="A6" s="60" t="n">
        <v>0</v>
      </c>
      <c r="B6" s="60" t="n">
        <v>60</v>
      </c>
      <c r="C6" s="60" t="n">
        <v>171</v>
      </c>
      <c r="D6" s="66">
        <f>(A6+B6)/2</f>
        <v/>
      </c>
      <c r="E6" s="66">
        <f>B6-A6</f>
        <v/>
      </c>
      <c r="F6" s="66">
        <f>C6/E6</f>
        <v/>
      </c>
      <c r="G6" s="66">
        <f>D6*C6</f>
        <v/>
      </c>
      <c r="H6" s="66">
        <f>D6^2*C6</f>
        <v/>
      </c>
      <c r="I6" s="66">
        <f>C6</f>
        <v/>
      </c>
    </row>
    <row r="7">
      <c r="A7" s="60" t="n">
        <v>60</v>
      </c>
      <c r="B7" s="60" t="n">
        <v>90</v>
      </c>
      <c r="C7" s="60" t="n">
        <v>490</v>
      </c>
      <c r="D7" s="66">
        <f>(A7+B7)/2</f>
        <v/>
      </c>
      <c r="E7" s="66">
        <f>B7-A7</f>
        <v/>
      </c>
      <c r="F7" s="66">
        <f>C7/E7</f>
        <v/>
      </c>
      <c r="G7" s="66">
        <f>D7*C7</f>
        <v/>
      </c>
      <c r="H7" s="66">
        <f>D7^2*C7</f>
        <v/>
      </c>
      <c r="I7" s="66">
        <f>I6+C7</f>
        <v/>
      </c>
    </row>
    <row r="8">
      <c r="A8" s="60" t="n">
        <v>90</v>
      </c>
      <c r="B8" s="60" t="n">
        <v>120</v>
      </c>
      <c r="C8" s="60" t="n">
        <v>225</v>
      </c>
      <c r="D8" s="66">
        <f>(A8+B8)/2</f>
        <v/>
      </c>
      <c r="E8" s="66">
        <f>B8-A8</f>
        <v/>
      </c>
      <c r="F8" s="66">
        <f>C8/E8</f>
        <v/>
      </c>
      <c r="G8" s="66">
        <f>D8*C8</f>
        <v/>
      </c>
      <c r="H8" s="66">
        <f>D8^2*C8</f>
        <v/>
      </c>
      <c r="I8" s="66">
        <f>I7+C8</f>
        <v/>
      </c>
    </row>
    <row r="9">
      <c r="A9" s="60" t="n">
        <v>120</v>
      </c>
      <c r="B9" s="60" t="n">
        <v>200</v>
      </c>
      <c r="C9" s="60" t="n">
        <v>114</v>
      </c>
      <c r="D9" s="66">
        <f>(A9+B9)/2</f>
        <v/>
      </c>
      <c r="E9" s="66">
        <f>B9-A9</f>
        <v/>
      </c>
      <c r="F9" s="66">
        <f>C9/E9</f>
        <v/>
      </c>
      <c r="G9" s="66">
        <f>D9*C9</f>
        <v/>
      </c>
      <c r="H9" s="66">
        <f>D9^2*C9</f>
        <v/>
      </c>
      <c r="I9" s="66">
        <f>I8+C9</f>
        <v/>
      </c>
    </row>
    <row r="10">
      <c r="A10" s="32" t="inlineStr">
        <is>
          <t>Total</t>
        </is>
      </c>
      <c r="C10" s="67">
        <f>SUM(C6:C9)</f>
        <v/>
      </c>
      <c r="G10" s="67">
        <f>SUM(G6:G9)</f>
        <v/>
      </c>
      <c r="H10" s="67">
        <f>SUM(H6:H9)</f>
        <v/>
      </c>
    </row>
    <row r="11"/>
    <row r="12">
      <c r="A12" s="32" t="inlineStr">
        <is>
          <t>Moda (intervalos)</t>
        </is>
      </c>
      <c r="B12" s="57">
        <f>A7+(F7-F6)/((F7-F6)+(F7-F8))*E7</f>
        <v/>
      </c>
      <c r="C12" s="58" t="inlineStr">
        <is>
          <t>→ =A7+(F7-F6)/((F7-F6)+(F7-F8))*E7</t>
        </is>
      </c>
      <c r="F12" s="55" t="inlineStr">
        <is>
          <t>Intervalo modal: fila 7 (mayor densidad)</t>
        </is>
      </c>
    </row>
    <row r="13">
      <c r="A13" s="71" t="inlineStr">
        <is>
          <t>Mediana de X: acumuladas 137, 359, 566 … → n/2 = 500 → Me = 3 personas.</t>
        </is>
      </c>
    </row>
    <row r="14"/>
    <row r="15">
      <c r="A15" s="64" t="inlineStr">
        <is>
          <t>Y | X = 5 o más</t>
        </is>
      </c>
    </row>
    <row r="16">
      <c r="A16" s="65" t="inlineStr">
        <is>
          <t>L inf</t>
        </is>
      </c>
      <c r="B16" s="65" t="inlineStr">
        <is>
          <t>L sup</t>
        </is>
      </c>
      <c r="C16" s="65" t="inlineStr">
        <is>
          <t>nᵢ</t>
        </is>
      </c>
      <c r="D16" s="65" t="inlineStr">
        <is>
          <t>Marca xᵢ</t>
        </is>
      </c>
      <c r="E16" s="65" t="inlineStr">
        <is>
          <t>Amplitud aᵢ</t>
        </is>
      </c>
      <c r="F16" s="65" t="inlineStr">
        <is>
          <t>Densidad dᵢ</t>
        </is>
      </c>
      <c r="G16" s="65" t="inlineStr">
        <is>
          <t>xᵢ·nᵢ</t>
        </is>
      </c>
      <c r="H16" s="65" t="inlineStr">
        <is>
          <t>xᵢ²·nᵢ</t>
        </is>
      </c>
      <c r="I16" s="65" t="inlineStr">
        <is>
          <t>Nᵢ (acum.)</t>
        </is>
      </c>
    </row>
    <row r="17">
      <c r="A17" s="60" t="n">
        <v>0</v>
      </c>
      <c r="B17" s="60" t="n">
        <v>60</v>
      </c>
      <c r="C17" s="60" t="n">
        <v>23</v>
      </c>
      <c r="D17" s="66">
        <f>(A17+B17)/2</f>
        <v/>
      </c>
      <c r="E17" s="66">
        <f>B17-A17</f>
        <v/>
      </c>
      <c r="F17" s="66">
        <f>C17/E17</f>
        <v/>
      </c>
      <c r="G17" s="66">
        <f>D17*C17</f>
        <v/>
      </c>
      <c r="H17" s="66">
        <f>D17^2*C17</f>
        <v/>
      </c>
      <c r="I17" s="66">
        <f>C17</f>
        <v/>
      </c>
    </row>
    <row r="18">
      <c r="A18" s="60" t="n">
        <v>60</v>
      </c>
      <c r="B18" s="60" t="n">
        <v>90</v>
      </c>
      <c r="C18" s="60" t="n">
        <v>92</v>
      </c>
      <c r="D18" s="66">
        <f>(A18+B18)/2</f>
        <v/>
      </c>
      <c r="E18" s="66">
        <f>B18-A18</f>
        <v/>
      </c>
      <c r="F18" s="66">
        <f>C18/E18</f>
        <v/>
      </c>
      <c r="G18" s="66">
        <f>D18*C18</f>
        <v/>
      </c>
      <c r="H18" s="66">
        <f>D18^2*C18</f>
        <v/>
      </c>
      <c r="I18" s="66">
        <f>I17+C18</f>
        <v/>
      </c>
    </row>
    <row r="19">
      <c r="A19" s="60" t="n">
        <v>90</v>
      </c>
      <c r="B19" s="60" t="n">
        <v>120</v>
      </c>
      <c r="C19" s="60" t="n">
        <v>53</v>
      </c>
      <c r="D19" s="66">
        <f>(A19+B19)/2</f>
        <v/>
      </c>
      <c r="E19" s="66">
        <f>B19-A19</f>
        <v/>
      </c>
      <c r="F19" s="66">
        <f>C19/E19</f>
        <v/>
      </c>
      <c r="G19" s="66">
        <f>D19*C19</f>
        <v/>
      </c>
      <c r="H19" s="66">
        <f>D19^2*C19</f>
        <v/>
      </c>
      <c r="I19" s="66">
        <f>I18+C19</f>
        <v/>
      </c>
    </row>
    <row r="20">
      <c r="A20" s="60" t="n">
        <v>120</v>
      </c>
      <c r="B20" s="60" t="n">
        <v>200</v>
      </c>
      <c r="C20" s="60" t="n">
        <v>32</v>
      </c>
      <c r="D20" s="66">
        <f>(A20+B20)/2</f>
        <v/>
      </c>
      <c r="E20" s="66">
        <f>B20-A20</f>
        <v/>
      </c>
      <c r="F20" s="66">
        <f>C20/E20</f>
        <v/>
      </c>
      <c r="G20" s="66">
        <f>D20*C20</f>
        <v/>
      </c>
      <c r="H20" s="66">
        <f>D20^2*C20</f>
        <v/>
      </c>
      <c r="I20" s="66">
        <f>I19+C20</f>
        <v/>
      </c>
    </row>
    <row r="21">
      <c r="A21" s="32" t="inlineStr">
        <is>
          <t>Total</t>
        </is>
      </c>
      <c r="C21" s="67">
        <f>SUM(C17:C20)</f>
        <v/>
      </c>
      <c r="G21" s="67">
        <f>SUM(G17:G20)</f>
        <v/>
      </c>
      <c r="H21" s="67">
        <f>SUM(H17:H20)</f>
        <v/>
      </c>
    </row>
    <row r="22"/>
    <row r="23">
      <c r="A23" s="32" t="inlineStr">
        <is>
          <t>Media</t>
        </is>
      </c>
      <c r="B23" s="57">
        <f>G21/C21</f>
        <v/>
      </c>
      <c r="C23" s="58" t="inlineStr">
        <is>
          <t>→ =G21/C21</t>
        </is>
      </c>
    </row>
    <row r="24">
      <c r="A24" s="32" t="inlineStr">
        <is>
          <t>Varianza S²</t>
        </is>
      </c>
      <c r="B24" s="57">
        <f>H21/C21-B23^2</f>
        <v/>
      </c>
      <c r="C24" s="58" t="inlineStr">
        <is>
          <t>→ =H21/C21-B23^2</t>
        </is>
      </c>
    </row>
    <row r="25">
      <c r="A25" s="32" t="inlineStr">
        <is>
          <t>Desviación típica S</t>
        </is>
      </c>
      <c r="B25" s="57">
        <f>SQRT(B24)</f>
        <v/>
      </c>
      <c r="C25" s="58" t="inlineStr">
        <is>
          <t>→ =RAIZ(B24)</t>
        </is>
      </c>
    </row>
    <row r="26">
      <c r="A26" s="32" t="inlineStr">
        <is>
          <t>Coef. de variación CV</t>
        </is>
      </c>
      <c r="B26" s="57">
        <f>B25/B23</f>
        <v/>
      </c>
      <c r="C26" s="58" t="inlineStr">
        <is>
          <t>→ =B25/B23</t>
        </is>
      </c>
    </row>
  </sheetData>
  <hyperlinks>
    <hyperlink ref="I1" location="'Inicio'!A1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40"/>
  <sheetViews>
    <sheetView tabSelected="0" zoomScale="11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54" t="inlineStr">
        <is>
          <t>Temas 1-2 · Ejercicio 16</t>
        </is>
      </c>
      <c r="I1" s="20" t="inlineStr">
        <is>
          <t>← Volver al inicio</t>
        </is>
      </c>
    </row>
    <row r="2">
      <c r="A2" s="55" t="inlineStr">
        <is>
          <t>Ingresos (X, cientos €) y gasto en streaming (Y, €), 100 familias</t>
        </is>
      </c>
    </row>
    <row r="3"/>
    <row r="4">
      <c r="A4" s="64" t="inlineStr">
        <is>
          <t>Marginal de X</t>
        </is>
      </c>
    </row>
    <row r="5">
      <c r="A5" s="65" t="inlineStr">
        <is>
          <t>L inf</t>
        </is>
      </c>
      <c r="B5" s="65" t="inlineStr">
        <is>
          <t>L sup</t>
        </is>
      </c>
      <c r="C5" s="65" t="inlineStr">
        <is>
          <t>nᵢ</t>
        </is>
      </c>
      <c r="D5" s="65" t="inlineStr">
        <is>
          <t>Marca xᵢ</t>
        </is>
      </c>
      <c r="E5" s="65" t="inlineStr">
        <is>
          <t>Amplitud aᵢ</t>
        </is>
      </c>
      <c r="F5" s="65" t="inlineStr">
        <is>
          <t>Densidad dᵢ</t>
        </is>
      </c>
      <c r="G5" s="65" t="inlineStr">
        <is>
          <t>xᵢ·nᵢ</t>
        </is>
      </c>
      <c r="H5" s="65" t="inlineStr">
        <is>
          <t>xᵢ²·nᵢ</t>
        </is>
      </c>
      <c r="I5" s="65" t="inlineStr">
        <is>
          <t>Nᵢ (acum.)</t>
        </is>
      </c>
    </row>
    <row r="6">
      <c r="A6" s="60" t="n">
        <v>6</v>
      </c>
      <c r="B6" s="60" t="n">
        <v>10</v>
      </c>
      <c r="C6" s="60" t="n">
        <v>6</v>
      </c>
      <c r="D6" s="66">
        <f>(A6+B6)/2</f>
        <v/>
      </c>
      <c r="E6" s="66">
        <f>B6-A6</f>
        <v/>
      </c>
      <c r="F6" s="66">
        <f>C6/E6</f>
        <v/>
      </c>
      <c r="G6" s="66">
        <f>D6*C6</f>
        <v/>
      </c>
      <c r="H6" s="66">
        <f>D6^2*C6</f>
        <v/>
      </c>
      <c r="I6" s="66">
        <f>C6</f>
        <v/>
      </c>
    </row>
    <row r="7">
      <c r="A7" s="60" t="n">
        <v>10</v>
      </c>
      <c r="B7" s="60" t="n">
        <v>15</v>
      </c>
      <c r="C7" s="60" t="n">
        <v>20</v>
      </c>
      <c r="D7" s="66">
        <f>(A7+B7)/2</f>
        <v/>
      </c>
      <c r="E7" s="66">
        <f>B7-A7</f>
        <v/>
      </c>
      <c r="F7" s="66">
        <f>C7/E7</f>
        <v/>
      </c>
      <c r="G7" s="66">
        <f>D7*C7</f>
        <v/>
      </c>
      <c r="H7" s="66">
        <f>D7^2*C7</f>
        <v/>
      </c>
      <c r="I7" s="66">
        <f>I6+C7</f>
        <v/>
      </c>
    </row>
    <row r="8">
      <c r="A8" s="60" t="n">
        <v>15</v>
      </c>
      <c r="B8" s="60" t="n">
        <v>20</v>
      </c>
      <c r="C8" s="60" t="n">
        <v>44</v>
      </c>
      <c r="D8" s="66">
        <f>(A8+B8)/2</f>
        <v/>
      </c>
      <c r="E8" s="66">
        <f>B8-A8</f>
        <v/>
      </c>
      <c r="F8" s="66">
        <f>C8/E8</f>
        <v/>
      </c>
      <c r="G8" s="66">
        <f>D8*C8</f>
        <v/>
      </c>
      <c r="H8" s="66">
        <f>D8^2*C8</f>
        <v/>
      </c>
      <c r="I8" s="66">
        <f>I7+C8</f>
        <v/>
      </c>
    </row>
    <row r="9">
      <c r="A9" s="60" t="n">
        <v>20</v>
      </c>
      <c r="B9" s="60" t="n">
        <v>30</v>
      </c>
      <c r="C9" s="60" t="n">
        <v>28</v>
      </c>
      <c r="D9" s="66">
        <f>(A9+B9)/2</f>
        <v/>
      </c>
      <c r="E9" s="66">
        <f>B9-A9</f>
        <v/>
      </c>
      <c r="F9" s="66">
        <f>C9/E9</f>
        <v/>
      </c>
      <c r="G9" s="66">
        <f>D9*C9</f>
        <v/>
      </c>
      <c r="H9" s="66">
        <f>D9^2*C9</f>
        <v/>
      </c>
      <c r="I9" s="66">
        <f>I8+C9</f>
        <v/>
      </c>
    </row>
    <row r="10">
      <c r="A10" s="60" t="n">
        <v>30</v>
      </c>
      <c r="B10" s="60" t="n">
        <v>50</v>
      </c>
      <c r="C10" s="60" t="n">
        <v>2</v>
      </c>
      <c r="D10" s="66">
        <f>(A10+B10)/2</f>
        <v/>
      </c>
      <c r="E10" s="66">
        <f>B10-A10</f>
        <v/>
      </c>
      <c r="F10" s="66">
        <f>C10/E10</f>
        <v/>
      </c>
      <c r="G10" s="66">
        <f>D10*C10</f>
        <v/>
      </c>
      <c r="H10" s="66">
        <f>D10^2*C10</f>
        <v/>
      </c>
      <c r="I10" s="66">
        <f>I9+C10</f>
        <v/>
      </c>
    </row>
    <row r="11">
      <c r="A11" s="32" t="inlineStr">
        <is>
          <t>Total</t>
        </is>
      </c>
      <c r="C11" s="67">
        <f>SUM(C6:C10)</f>
        <v/>
      </c>
      <c r="G11" s="67">
        <f>SUM(G6:G10)</f>
        <v/>
      </c>
      <c r="H11" s="67">
        <f>SUM(H6:H10)</f>
        <v/>
      </c>
    </row>
    <row r="12"/>
    <row r="13">
      <c r="A13" s="32" t="inlineStr">
        <is>
          <t>Media</t>
        </is>
      </c>
      <c r="B13" s="57">
        <f>G11/C11</f>
        <v/>
      </c>
      <c r="C13" s="58" t="inlineStr">
        <is>
          <t>→ =G11/C11</t>
        </is>
      </c>
    </row>
    <row r="14">
      <c r="A14" s="32" t="inlineStr">
        <is>
          <t>Varianza S²</t>
        </is>
      </c>
      <c r="B14" s="57">
        <f>H11/C11-B13^2</f>
        <v/>
      </c>
      <c r="C14" s="58" t="inlineStr">
        <is>
          <t>→ =H11/C11-B13^2</t>
        </is>
      </c>
    </row>
    <row r="15">
      <c r="A15" s="32" t="inlineStr">
        <is>
          <t>Desviación típica S</t>
        </is>
      </c>
      <c r="B15" s="57">
        <f>SQRT(B14)</f>
        <v/>
      </c>
      <c r="C15" s="58" t="inlineStr">
        <is>
          <t>→ =RAIZ(B14)</t>
        </is>
      </c>
    </row>
    <row r="16">
      <c r="A16" s="32" t="inlineStr">
        <is>
          <t>Coef. de variación CV</t>
        </is>
      </c>
      <c r="B16" s="57">
        <f>B15/B13</f>
        <v/>
      </c>
      <c r="C16" s="58" t="inlineStr">
        <is>
          <t>→ =B15/B13</t>
        </is>
      </c>
    </row>
    <row r="17">
      <c r="A17" s="64" t="inlineStr">
        <is>
          <t>Marginal de Y</t>
        </is>
      </c>
    </row>
    <row r="18">
      <c r="A18" s="65" t="inlineStr">
        <is>
          <t>L inf</t>
        </is>
      </c>
      <c r="B18" s="65" t="inlineStr">
        <is>
          <t>L sup</t>
        </is>
      </c>
      <c r="C18" s="65" t="inlineStr">
        <is>
          <t>nᵢ</t>
        </is>
      </c>
      <c r="D18" s="65" t="inlineStr">
        <is>
          <t>Marca xᵢ</t>
        </is>
      </c>
      <c r="E18" s="65" t="inlineStr">
        <is>
          <t>Amplitud aᵢ</t>
        </is>
      </c>
      <c r="F18" s="65" t="inlineStr">
        <is>
          <t>Densidad dᵢ</t>
        </is>
      </c>
      <c r="G18" s="65" t="inlineStr">
        <is>
          <t>xᵢ·nᵢ</t>
        </is>
      </c>
      <c r="H18" s="65" t="inlineStr">
        <is>
          <t>xᵢ²·nᵢ</t>
        </is>
      </c>
      <c r="I18" s="65" t="inlineStr">
        <is>
          <t>Nᵢ (acum.)</t>
        </is>
      </c>
    </row>
    <row r="19">
      <c r="A19" s="60" t="n">
        <v>0</v>
      </c>
      <c r="B19" s="60" t="n">
        <v>12</v>
      </c>
      <c r="C19" s="60" t="n">
        <v>28</v>
      </c>
      <c r="D19" s="66">
        <f>(A19+B19)/2</f>
        <v/>
      </c>
      <c r="E19" s="66">
        <f>B19-A19</f>
        <v/>
      </c>
      <c r="F19" s="66">
        <f>C19/E19</f>
        <v/>
      </c>
      <c r="G19" s="66">
        <f>D19*C19</f>
        <v/>
      </c>
      <c r="H19" s="66">
        <f>D19^2*C19</f>
        <v/>
      </c>
      <c r="I19" s="66">
        <f>C19</f>
        <v/>
      </c>
    </row>
    <row r="20">
      <c r="A20" s="60" t="n">
        <v>12</v>
      </c>
      <c r="B20" s="60" t="n">
        <v>48</v>
      </c>
      <c r="C20" s="60" t="n">
        <v>30</v>
      </c>
      <c r="D20" s="66">
        <f>(A20+B20)/2</f>
        <v/>
      </c>
      <c r="E20" s="66">
        <f>B20-A20</f>
        <v/>
      </c>
      <c r="F20" s="66">
        <f>C20/E20</f>
        <v/>
      </c>
      <c r="G20" s="66">
        <f>D20*C20</f>
        <v/>
      </c>
      <c r="H20" s="66">
        <f>D20^2*C20</f>
        <v/>
      </c>
      <c r="I20" s="66">
        <f>I19+C20</f>
        <v/>
      </c>
    </row>
    <row r="21">
      <c r="A21" s="60" t="n">
        <v>48</v>
      </c>
      <c r="B21" s="60" t="n">
        <v>120</v>
      </c>
      <c r="C21" s="60" t="n">
        <v>36</v>
      </c>
      <c r="D21" s="66">
        <f>(A21+B21)/2</f>
        <v/>
      </c>
      <c r="E21" s="66">
        <f>B21-A21</f>
        <v/>
      </c>
      <c r="F21" s="66">
        <f>C21/E21</f>
        <v/>
      </c>
      <c r="G21" s="66">
        <f>D21*C21</f>
        <v/>
      </c>
      <c r="H21" s="66">
        <f>D21^2*C21</f>
        <v/>
      </c>
      <c r="I21" s="66">
        <f>I20+C21</f>
        <v/>
      </c>
    </row>
    <row r="22">
      <c r="A22" s="60" t="n">
        <v>120</v>
      </c>
      <c r="B22" s="60" t="n">
        <v>480</v>
      </c>
      <c r="C22" s="60" t="n">
        <v>6</v>
      </c>
      <c r="D22" s="66">
        <f>(A22+B22)/2</f>
        <v/>
      </c>
      <c r="E22" s="66">
        <f>B22-A22</f>
        <v/>
      </c>
      <c r="F22" s="66">
        <f>C22/E22</f>
        <v/>
      </c>
      <c r="G22" s="66">
        <f>D22*C22</f>
        <v/>
      </c>
      <c r="H22" s="66">
        <f>D22^2*C22</f>
        <v/>
      </c>
      <c r="I22" s="66">
        <f>I21+C22</f>
        <v/>
      </c>
    </row>
    <row r="23">
      <c r="A23" s="32" t="inlineStr">
        <is>
          <t>Total</t>
        </is>
      </c>
      <c r="C23" s="67">
        <f>SUM(C19:C22)</f>
        <v/>
      </c>
      <c r="G23" s="67">
        <f>SUM(G19:G22)</f>
        <v/>
      </c>
      <c r="H23" s="67">
        <f>SUM(H19:H22)</f>
        <v/>
      </c>
    </row>
    <row r="24"/>
    <row r="25">
      <c r="A25" s="32" t="inlineStr">
        <is>
          <t>Media</t>
        </is>
      </c>
      <c r="B25" s="57">
        <f>G23/C23</f>
        <v/>
      </c>
      <c r="C25" s="58" t="inlineStr">
        <is>
          <t>→ =G23/C23</t>
        </is>
      </c>
    </row>
    <row r="26">
      <c r="A26" s="32" t="inlineStr">
        <is>
          <t>Varianza S²</t>
        </is>
      </c>
      <c r="B26" s="57">
        <f>H23/C23-B25^2</f>
        <v/>
      </c>
      <c r="C26" s="58" t="inlineStr">
        <is>
          <t>→ =H23/C23-B25^2</t>
        </is>
      </c>
    </row>
    <row r="27">
      <c r="A27" s="32" t="inlineStr">
        <is>
          <t>Desviación típica S</t>
        </is>
      </c>
      <c r="B27" s="57">
        <f>SQRT(B26)</f>
        <v/>
      </c>
      <c r="C27" s="58" t="inlineStr">
        <is>
          <t>→ =RAIZ(B26)</t>
        </is>
      </c>
    </row>
    <row r="28">
      <c r="A28" s="32" t="inlineStr">
        <is>
          <t>Coef. de variación CV</t>
        </is>
      </c>
      <c r="B28" s="57">
        <f>B27/B25</f>
        <v/>
      </c>
      <c r="C28" s="58" t="inlineStr">
        <is>
          <t>→ =B27/B25</t>
        </is>
      </c>
    </row>
    <row r="29">
      <c r="A29" s="71" t="inlineStr">
        <is>
          <t>Independencia: f(6-10, 0-12) = 0,04 ≠ 0,06 × 0,28 = 0,0168 → NO independientes.</t>
        </is>
      </c>
    </row>
    <row r="30"/>
    <row r="31">
      <c r="A31" s="64" t="inlineStr">
        <is>
          <t>Y | X ≤ 20 (ingresos hasta 2000 €)</t>
        </is>
      </c>
    </row>
    <row r="32">
      <c r="A32" s="65" t="inlineStr">
        <is>
          <t>L inf</t>
        </is>
      </c>
      <c r="B32" s="65" t="inlineStr">
        <is>
          <t>L sup</t>
        </is>
      </c>
      <c r="C32" s="65" t="inlineStr">
        <is>
          <t>nᵢ</t>
        </is>
      </c>
      <c r="D32" s="65" t="inlineStr">
        <is>
          <t>Marca xᵢ</t>
        </is>
      </c>
      <c r="E32" s="65" t="inlineStr">
        <is>
          <t>Amplitud aᵢ</t>
        </is>
      </c>
      <c r="F32" s="65" t="inlineStr">
        <is>
          <t>Densidad dᵢ</t>
        </is>
      </c>
      <c r="G32" s="65" t="inlineStr">
        <is>
          <t>xᵢ·nᵢ</t>
        </is>
      </c>
      <c r="H32" s="65" t="inlineStr">
        <is>
          <t>xᵢ²·nᵢ</t>
        </is>
      </c>
      <c r="I32" s="65" t="inlineStr">
        <is>
          <t>Nᵢ (acum.)</t>
        </is>
      </c>
    </row>
    <row r="33">
      <c r="A33" s="60" t="n">
        <v>0</v>
      </c>
      <c r="B33" s="60" t="n">
        <v>12</v>
      </c>
      <c r="C33" s="60" t="n">
        <v>22</v>
      </c>
      <c r="D33" s="66">
        <f>(A33+B33)/2</f>
        <v/>
      </c>
      <c r="E33" s="66">
        <f>B33-A33</f>
        <v/>
      </c>
      <c r="F33" s="66">
        <f>C33/E33</f>
        <v/>
      </c>
      <c r="G33" s="66">
        <f>D33*C33</f>
        <v/>
      </c>
      <c r="H33" s="66">
        <f>D33^2*C33</f>
        <v/>
      </c>
      <c r="I33" s="66">
        <f>C33</f>
        <v/>
      </c>
    </row>
    <row r="34">
      <c r="A34" s="60" t="n">
        <v>12</v>
      </c>
      <c r="B34" s="60" t="n">
        <v>48</v>
      </c>
      <c r="C34" s="60" t="n">
        <v>21</v>
      </c>
      <c r="D34" s="66">
        <f>(A34+B34)/2</f>
        <v/>
      </c>
      <c r="E34" s="66">
        <f>B34-A34</f>
        <v/>
      </c>
      <c r="F34" s="66">
        <f>C34/E34</f>
        <v/>
      </c>
      <c r="G34" s="66">
        <f>D34*C34</f>
        <v/>
      </c>
      <c r="H34" s="66">
        <f>D34^2*C34</f>
        <v/>
      </c>
      <c r="I34" s="66">
        <f>I33+C34</f>
        <v/>
      </c>
    </row>
    <row r="35">
      <c r="A35" s="60" t="n">
        <v>48</v>
      </c>
      <c r="B35" s="60" t="n">
        <v>120</v>
      </c>
      <c r="C35" s="60" t="n">
        <v>24</v>
      </c>
      <c r="D35" s="66">
        <f>(A35+B35)/2</f>
        <v/>
      </c>
      <c r="E35" s="66">
        <f>B35-A35</f>
        <v/>
      </c>
      <c r="F35" s="66">
        <f>C35/E35</f>
        <v/>
      </c>
      <c r="G35" s="66">
        <f>D35*C35</f>
        <v/>
      </c>
      <c r="H35" s="66">
        <f>D35^2*C35</f>
        <v/>
      </c>
      <c r="I35" s="66">
        <f>I34+C35</f>
        <v/>
      </c>
    </row>
    <row r="36">
      <c r="A36" s="60" t="n">
        <v>120</v>
      </c>
      <c r="B36" s="60" t="n">
        <v>480</v>
      </c>
      <c r="C36" s="60" t="n">
        <v>3</v>
      </c>
      <c r="D36" s="66">
        <f>(A36+B36)/2</f>
        <v/>
      </c>
      <c r="E36" s="66">
        <f>B36-A36</f>
        <v/>
      </c>
      <c r="F36" s="66">
        <f>C36/E36</f>
        <v/>
      </c>
      <c r="G36" s="66">
        <f>D36*C36</f>
        <v/>
      </c>
      <c r="H36" s="66">
        <f>D36^2*C36</f>
        <v/>
      </c>
      <c r="I36" s="66">
        <f>I35+C36</f>
        <v/>
      </c>
    </row>
    <row r="37">
      <c r="A37" s="32" t="inlineStr">
        <is>
          <t>Total</t>
        </is>
      </c>
      <c r="C37" s="67">
        <f>SUM(C33:C36)</f>
        <v/>
      </c>
      <c r="G37" s="67">
        <f>SUM(G33:G36)</f>
        <v/>
      </c>
      <c r="H37" s="67">
        <f>SUM(H33:H36)</f>
        <v/>
      </c>
    </row>
    <row r="38"/>
    <row r="39">
      <c r="A39" s="32" t="inlineStr">
        <is>
          <t>C₁</t>
        </is>
      </c>
      <c r="B39" s="57">
        <f>A33+(0.25*C37-0)/C33*E33</f>
        <v/>
      </c>
      <c r="C39" s="58" t="inlineStr">
        <is>
          <t>→ =A33+(0,25*C37-0)/C33*E33</t>
        </is>
      </c>
      <c r="F39" s="55" t="inlineStr">
        <is>
          <t>Intervalo de la fila 33</t>
        </is>
      </c>
    </row>
    <row r="40">
      <c r="A40" s="32" t="inlineStr">
        <is>
          <t>C₃</t>
        </is>
      </c>
      <c r="B40" s="57">
        <f>A35+(0.75*C37-I34)/C35*E35</f>
        <v/>
      </c>
      <c r="C40" s="58" t="inlineStr">
        <is>
          <t>→ =A35+(0,75*C37-I34)/C35*E35</t>
        </is>
      </c>
      <c r="F40" s="55" t="inlineStr">
        <is>
          <t>Intervalo de la fila 35</t>
        </is>
      </c>
    </row>
  </sheetData>
  <hyperlinks>
    <hyperlink ref="I1" location="'Inicio'!A1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67"/>
  <sheetViews>
    <sheetView tabSelected="0" zoomScale="11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54" t="inlineStr">
        <is>
          <t>Temas 1-2 · Ejercicio 17</t>
        </is>
      </c>
      <c r="I1" s="20" t="inlineStr">
        <is>
          <t>← Volver al inicio</t>
        </is>
      </c>
    </row>
    <row r="2">
      <c r="A2" s="55" t="inlineStr">
        <is>
          <t>Gasto diario de turistas por provincia</t>
        </is>
      </c>
    </row>
    <row r="3"/>
    <row r="4">
      <c r="A4" s="64" t="inlineStr">
        <is>
          <t>A Coruña</t>
        </is>
      </c>
    </row>
    <row r="5">
      <c r="A5" s="65" t="inlineStr">
        <is>
          <t>L inf</t>
        </is>
      </c>
      <c r="B5" s="65" t="inlineStr">
        <is>
          <t>L sup</t>
        </is>
      </c>
      <c r="C5" s="65" t="inlineStr">
        <is>
          <t>nᵢ</t>
        </is>
      </c>
      <c r="D5" s="65" t="inlineStr">
        <is>
          <t>Marca xᵢ</t>
        </is>
      </c>
      <c r="E5" s="65" t="inlineStr">
        <is>
          <t>Amplitud aᵢ</t>
        </is>
      </c>
      <c r="F5" s="65" t="inlineStr">
        <is>
          <t>Densidad dᵢ</t>
        </is>
      </c>
      <c r="G5" s="65" t="inlineStr">
        <is>
          <t>xᵢ·nᵢ</t>
        </is>
      </c>
      <c r="H5" s="65" t="inlineStr">
        <is>
          <t>xᵢ²·nᵢ</t>
        </is>
      </c>
      <c r="I5" s="65" t="inlineStr">
        <is>
          <t>Nᵢ (acum.)</t>
        </is>
      </c>
    </row>
    <row r="6">
      <c r="A6" s="60" t="n">
        <v>0</v>
      </c>
      <c r="B6" s="60" t="n">
        <v>60</v>
      </c>
      <c r="C6" s="60" t="n">
        <v>5</v>
      </c>
      <c r="D6" s="66">
        <f>(A6+B6)/2</f>
        <v/>
      </c>
      <c r="E6" s="66">
        <f>B6-A6</f>
        <v/>
      </c>
      <c r="F6" s="66">
        <f>C6/E6</f>
        <v/>
      </c>
      <c r="G6" s="66">
        <f>D6*C6</f>
        <v/>
      </c>
      <c r="H6" s="66">
        <f>D6^2*C6</f>
        <v/>
      </c>
      <c r="I6" s="66">
        <f>C6</f>
        <v/>
      </c>
    </row>
    <row r="7">
      <c r="A7" s="60" t="n">
        <v>60</v>
      </c>
      <c r="B7" s="60" t="n">
        <v>90</v>
      </c>
      <c r="C7" s="60" t="n">
        <v>8</v>
      </c>
      <c r="D7" s="66">
        <f>(A7+B7)/2</f>
        <v/>
      </c>
      <c r="E7" s="66">
        <f>B7-A7</f>
        <v/>
      </c>
      <c r="F7" s="66">
        <f>C7/E7</f>
        <v/>
      </c>
      <c r="G7" s="66">
        <f>D7*C7</f>
        <v/>
      </c>
      <c r="H7" s="66">
        <f>D7^2*C7</f>
        <v/>
      </c>
      <c r="I7" s="66">
        <f>I6+C7</f>
        <v/>
      </c>
    </row>
    <row r="8">
      <c r="A8" s="60" t="n">
        <v>90</v>
      </c>
      <c r="B8" s="60" t="n">
        <v>120</v>
      </c>
      <c r="C8" s="60" t="n">
        <v>10</v>
      </c>
      <c r="D8" s="66">
        <f>(A8+B8)/2</f>
        <v/>
      </c>
      <c r="E8" s="66">
        <f>B8-A8</f>
        <v/>
      </c>
      <c r="F8" s="66">
        <f>C8/E8</f>
        <v/>
      </c>
      <c r="G8" s="66">
        <f>D8*C8</f>
        <v/>
      </c>
      <c r="H8" s="66">
        <f>D8^2*C8</f>
        <v/>
      </c>
      <c r="I8" s="66">
        <f>I7+C8</f>
        <v/>
      </c>
    </row>
    <row r="9">
      <c r="A9" s="60" t="n">
        <v>120</v>
      </c>
      <c r="B9" s="60" t="n">
        <v>180</v>
      </c>
      <c r="C9" s="60" t="n">
        <v>30</v>
      </c>
      <c r="D9" s="66">
        <f>(A9+B9)/2</f>
        <v/>
      </c>
      <c r="E9" s="66">
        <f>B9-A9</f>
        <v/>
      </c>
      <c r="F9" s="66">
        <f>C9/E9</f>
        <v/>
      </c>
      <c r="G9" s="66">
        <f>D9*C9</f>
        <v/>
      </c>
      <c r="H9" s="66">
        <f>D9^2*C9</f>
        <v/>
      </c>
      <c r="I9" s="66">
        <f>I8+C9</f>
        <v/>
      </c>
    </row>
    <row r="10">
      <c r="A10" s="60" t="n">
        <v>180</v>
      </c>
      <c r="B10" s="60" t="n">
        <v>300</v>
      </c>
      <c r="C10" s="60" t="n">
        <v>10</v>
      </c>
      <c r="D10" s="66">
        <f>(A10+B10)/2</f>
        <v/>
      </c>
      <c r="E10" s="66">
        <f>B10-A10</f>
        <v/>
      </c>
      <c r="F10" s="66">
        <f>C10/E10</f>
        <v/>
      </c>
      <c r="G10" s="66">
        <f>D10*C10</f>
        <v/>
      </c>
      <c r="H10" s="66">
        <f>D10^2*C10</f>
        <v/>
      </c>
      <c r="I10" s="66">
        <f>I9+C10</f>
        <v/>
      </c>
    </row>
    <row r="11">
      <c r="A11" s="32" t="inlineStr">
        <is>
          <t>Total</t>
        </is>
      </c>
      <c r="C11" s="67">
        <f>SUM(C6:C10)</f>
        <v/>
      </c>
      <c r="G11" s="67">
        <f>SUM(G6:G10)</f>
        <v/>
      </c>
      <c r="H11" s="67">
        <f>SUM(H6:H10)</f>
        <v/>
      </c>
    </row>
    <row r="12"/>
    <row r="13">
      <c r="A13" s="32" t="inlineStr">
        <is>
          <t>Media</t>
        </is>
      </c>
      <c r="B13" s="57">
        <f>G11/C11</f>
        <v/>
      </c>
      <c r="C13" s="58" t="inlineStr">
        <is>
          <t>→ =G11/C11</t>
        </is>
      </c>
    </row>
    <row r="14">
      <c r="A14" s="32" t="inlineStr">
        <is>
          <t>Varianza S²</t>
        </is>
      </c>
      <c r="B14" s="57">
        <f>H11/C11-B13^2</f>
        <v/>
      </c>
      <c r="C14" s="58" t="inlineStr">
        <is>
          <t>→ =H11/C11-B13^2</t>
        </is>
      </c>
    </row>
    <row r="15">
      <c r="A15" s="32" t="inlineStr">
        <is>
          <t>Desviación típica S</t>
        </is>
      </c>
      <c r="B15" s="57">
        <f>SQRT(B14)</f>
        <v/>
      </c>
      <c r="C15" s="58" t="inlineStr">
        <is>
          <t>→ =RAIZ(B14)</t>
        </is>
      </c>
    </row>
    <row r="16">
      <c r="A16" s="32" t="inlineStr">
        <is>
          <t>Coef. de variación CV</t>
        </is>
      </c>
      <c r="B16" s="57">
        <f>B15/B13</f>
        <v/>
      </c>
      <c r="C16" s="58" t="inlineStr">
        <is>
          <t>→ =B15/B13</t>
        </is>
      </c>
    </row>
    <row r="17">
      <c r="A17" s="64" t="inlineStr">
        <is>
          <t>Pontevedra</t>
        </is>
      </c>
    </row>
    <row r="18">
      <c r="A18" s="65" t="inlineStr">
        <is>
          <t>L inf</t>
        </is>
      </c>
      <c r="B18" s="65" t="inlineStr">
        <is>
          <t>L sup</t>
        </is>
      </c>
      <c r="C18" s="65" t="inlineStr">
        <is>
          <t>nᵢ</t>
        </is>
      </c>
      <c r="D18" s="65" t="inlineStr">
        <is>
          <t>Marca xᵢ</t>
        </is>
      </c>
      <c r="E18" s="65" t="inlineStr">
        <is>
          <t>Amplitud aᵢ</t>
        </is>
      </c>
      <c r="F18" s="65" t="inlineStr">
        <is>
          <t>Densidad dᵢ</t>
        </is>
      </c>
      <c r="G18" s="65" t="inlineStr">
        <is>
          <t>xᵢ·nᵢ</t>
        </is>
      </c>
      <c r="H18" s="65" t="inlineStr">
        <is>
          <t>xᵢ²·nᵢ</t>
        </is>
      </c>
      <c r="I18" s="65" t="inlineStr">
        <is>
          <t>Nᵢ (acum.)</t>
        </is>
      </c>
    </row>
    <row r="19">
      <c r="A19" s="60" t="n">
        <v>0</v>
      </c>
      <c r="B19" s="60" t="n">
        <v>60</v>
      </c>
      <c r="C19" s="60" t="n">
        <v>8</v>
      </c>
      <c r="D19" s="66">
        <f>(A19+B19)/2</f>
        <v/>
      </c>
      <c r="E19" s="66">
        <f>B19-A19</f>
        <v/>
      </c>
      <c r="F19" s="66">
        <f>C19/E19</f>
        <v/>
      </c>
      <c r="G19" s="66">
        <f>D19*C19</f>
        <v/>
      </c>
      <c r="H19" s="66">
        <f>D19^2*C19</f>
        <v/>
      </c>
      <c r="I19" s="66">
        <f>C19</f>
        <v/>
      </c>
    </row>
    <row r="20">
      <c r="A20" s="60" t="n">
        <v>60</v>
      </c>
      <c r="B20" s="60" t="n">
        <v>90</v>
      </c>
      <c r="C20" s="60" t="n">
        <v>10</v>
      </c>
      <c r="D20" s="66">
        <f>(A20+B20)/2</f>
        <v/>
      </c>
      <c r="E20" s="66">
        <f>B20-A20</f>
        <v/>
      </c>
      <c r="F20" s="66">
        <f>C20/E20</f>
        <v/>
      </c>
      <c r="G20" s="66">
        <f>D20*C20</f>
        <v/>
      </c>
      <c r="H20" s="66">
        <f>D20^2*C20</f>
        <v/>
      </c>
      <c r="I20" s="66">
        <f>I19+C20</f>
        <v/>
      </c>
    </row>
    <row r="21">
      <c r="A21" s="60" t="n">
        <v>90</v>
      </c>
      <c r="B21" s="60" t="n">
        <v>120</v>
      </c>
      <c r="C21" s="60" t="n">
        <v>28</v>
      </c>
      <c r="D21" s="66">
        <f>(A21+B21)/2</f>
        <v/>
      </c>
      <c r="E21" s="66">
        <f>B21-A21</f>
        <v/>
      </c>
      <c r="F21" s="66">
        <f>C21/E21</f>
        <v/>
      </c>
      <c r="G21" s="66">
        <f>D21*C21</f>
        <v/>
      </c>
      <c r="H21" s="66">
        <f>D21^2*C21</f>
        <v/>
      </c>
      <c r="I21" s="66">
        <f>I20+C21</f>
        <v/>
      </c>
    </row>
    <row r="22">
      <c r="A22" s="60" t="n">
        <v>120</v>
      </c>
      <c r="B22" s="60" t="n">
        <v>180</v>
      </c>
      <c r="C22" s="60" t="n">
        <v>12</v>
      </c>
      <c r="D22" s="66">
        <f>(A22+B22)/2</f>
        <v/>
      </c>
      <c r="E22" s="66">
        <f>B22-A22</f>
        <v/>
      </c>
      <c r="F22" s="66">
        <f>C22/E22</f>
        <v/>
      </c>
      <c r="G22" s="66">
        <f>D22*C22</f>
        <v/>
      </c>
      <c r="H22" s="66">
        <f>D22^2*C22</f>
        <v/>
      </c>
      <c r="I22" s="66">
        <f>I21+C22</f>
        <v/>
      </c>
    </row>
    <row r="23">
      <c r="A23" s="60" t="n">
        <v>180</v>
      </c>
      <c r="B23" s="60" t="n">
        <v>300</v>
      </c>
      <c r="C23" s="60" t="n">
        <v>4</v>
      </c>
      <c r="D23" s="66">
        <f>(A23+B23)/2</f>
        <v/>
      </c>
      <c r="E23" s="66">
        <f>B23-A23</f>
        <v/>
      </c>
      <c r="F23" s="66">
        <f>C23/E23</f>
        <v/>
      </c>
      <c r="G23" s="66">
        <f>D23*C23</f>
        <v/>
      </c>
      <c r="H23" s="66">
        <f>D23^2*C23</f>
        <v/>
      </c>
      <c r="I23" s="66">
        <f>I22+C23</f>
        <v/>
      </c>
    </row>
    <row r="24">
      <c r="A24" s="32" t="inlineStr">
        <is>
          <t>Total</t>
        </is>
      </c>
      <c r="C24" s="67">
        <f>SUM(C19:C23)</f>
        <v/>
      </c>
      <c r="G24" s="67">
        <f>SUM(G19:G23)</f>
        <v/>
      </c>
      <c r="H24" s="67">
        <f>SUM(H19:H23)</f>
        <v/>
      </c>
    </row>
    <row r="25"/>
    <row r="26">
      <c r="A26" s="32" t="inlineStr">
        <is>
          <t>Media</t>
        </is>
      </c>
      <c r="B26" s="57">
        <f>G24/C24</f>
        <v/>
      </c>
      <c r="C26" s="58" t="inlineStr">
        <is>
          <t>→ =G24/C24</t>
        </is>
      </c>
    </row>
    <row r="27">
      <c r="A27" s="32" t="inlineStr">
        <is>
          <t>Varianza S²</t>
        </is>
      </c>
      <c r="B27" s="57">
        <f>H24/C24-B26^2</f>
        <v/>
      </c>
      <c r="C27" s="58" t="inlineStr">
        <is>
          <t>→ =H24/C24-B26^2</t>
        </is>
      </c>
    </row>
    <row r="28">
      <c r="A28" s="32" t="inlineStr">
        <is>
          <t>Desviación típica S</t>
        </is>
      </c>
      <c r="B28" s="57">
        <f>SQRT(B27)</f>
        <v/>
      </c>
      <c r="C28" s="58" t="inlineStr">
        <is>
          <t>→ =RAIZ(B27)</t>
        </is>
      </c>
    </row>
    <row r="29">
      <c r="A29" s="32" t="inlineStr">
        <is>
          <t>Coef. de variación CV</t>
        </is>
      </c>
      <c r="B29" s="57">
        <f>B28/B26</f>
        <v/>
      </c>
      <c r="C29" s="58" t="inlineStr">
        <is>
          <t>→ =B28/B26</t>
        </is>
      </c>
    </row>
    <row r="30">
      <c r="A30" s="32" t="inlineStr">
        <is>
          <t>P₇₅ Pontevedra</t>
        </is>
      </c>
      <c r="B30" s="57">
        <f>A22+(0.75*C24-I21)/C22*E22</f>
        <v/>
      </c>
      <c r="C30" s="58" t="inlineStr">
        <is>
          <t>→ =A22+(0,75*C24-I21)/C22*E22</t>
        </is>
      </c>
      <c r="F30" s="55" t="inlineStr">
        <is>
          <t>Intervalo de la fila 22</t>
        </is>
      </c>
    </row>
    <row r="31">
      <c r="A31" s="64" t="inlineStr">
        <is>
          <t>Galicia (total)</t>
        </is>
      </c>
    </row>
    <row r="32">
      <c r="A32" s="65" t="inlineStr">
        <is>
          <t>L inf</t>
        </is>
      </c>
      <c r="B32" s="65" t="inlineStr">
        <is>
          <t>L sup</t>
        </is>
      </c>
      <c r="C32" s="65" t="inlineStr">
        <is>
          <t>nᵢ</t>
        </is>
      </c>
      <c r="D32" s="65" t="inlineStr">
        <is>
          <t>Marca xᵢ</t>
        </is>
      </c>
      <c r="E32" s="65" t="inlineStr">
        <is>
          <t>Amplitud aᵢ</t>
        </is>
      </c>
      <c r="F32" s="65" t="inlineStr">
        <is>
          <t>Densidad dᵢ</t>
        </is>
      </c>
      <c r="G32" s="65" t="inlineStr">
        <is>
          <t>xᵢ·nᵢ</t>
        </is>
      </c>
      <c r="H32" s="65" t="inlineStr">
        <is>
          <t>xᵢ²·nᵢ</t>
        </is>
      </c>
      <c r="I32" s="65" t="inlineStr">
        <is>
          <t>Nᵢ (acum.)</t>
        </is>
      </c>
    </row>
    <row r="33">
      <c r="A33" s="60" t="n">
        <v>0</v>
      </c>
      <c r="B33" s="60" t="n">
        <v>60</v>
      </c>
      <c r="C33" s="60" t="n">
        <v>15</v>
      </c>
      <c r="D33" s="66">
        <f>(A33+B33)/2</f>
        <v/>
      </c>
      <c r="E33" s="66">
        <f>B33-A33</f>
        <v/>
      </c>
      <c r="F33" s="66">
        <f>C33/E33</f>
        <v/>
      </c>
      <c r="G33" s="66">
        <f>D33*C33</f>
        <v/>
      </c>
      <c r="H33" s="66">
        <f>D33^2*C33</f>
        <v/>
      </c>
      <c r="I33" s="66">
        <f>C33</f>
        <v/>
      </c>
    </row>
    <row r="34">
      <c r="A34" s="60" t="n">
        <v>60</v>
      </c>
      <c r="B34" s="60" t="n">
        <v>90</v>
      </c>
      <c r="C34" s="60" t="n">
        <v>21</v>
      </c>
      <c r="D34" s="66">
        <f>(A34+B34)/2</f>
        <v/>
      </c>
      <c r="E34" s="66">
        <f>B34-A34</f>
        <v/>
      </c>
      <c r="F34" s="66">
        <f>C34/E34</f>
        <v/>
      </c>
      <c r="G34" s="66">
        <f>D34*C34</f>
        <v/>
      </c>
      <c r="H34" s="66">
        <f>D34^2*C34</f>
        <v/>
      </c>
      <c r="I34" s="66">
        <f>I33+C34</f>
        <v/>
      </c>
    </row>
    <row r="35">
      <c r="A35" s="60" t="n">
        <v>90</v>
      </c>
      <c r="B35" s="60" t="n">
        <v>120</v>
      </c>
      <c r="C35" s="60" t="n">
        <v>48</v>
      </c>
      <c r="D35" s="66">
        <f>(A35+B35)/2</f>
        <v/>
      </c>
      <c r="E35" s="66">
        <f>B35-A35</f>
        <v/>
      </c>
      <c r="F35" s="66">
        <f>C35/E35</f>
        <v/>
      </c>
      <c r="G35" s="66">
        <f>D35*C35</f>
        <v/>
      </c>
      <c r="H35" s="66">
        <f>D35^2*C35</f>
        <v/>
      </c>
      <c r="I35" s="66">
        <f>I34+C35</f>
        <v/>
      </c>
    </row>
    <row r="36">
      <c r="A36" s="60" t="n">
        <v>120</v>
      </c>
      <c r="B36" s="60" t="n">
        <v>180</v>
      </c>
      <c r="C36" s="60" t="n">
        <v>49</v>
      </c>
      <c r="D36" s="66">
        <f>(A36+B36)/2</f>
        <v/>
      </c>
      <c r="E36" s="66">
        <f>B36-A36</f>
        <v/>
      </c>
      <c r="F36" s="66">
        <f>C36/E36</f>
        <v/>
      </c>
      <c r="G36" s="66">
        <f>D36*C36</f>
        <v/>
      </c>
      <c r="H36" s="66">
        <f>D36^2*C36</f>
        <v/>
      </c>
      <c r="I36" s="66">
        <f>I35+C36</f>
        <v/>
      </c>
    </row>
    <row r="37">
      <c r="A37" s="60" t="n">
        <v>180</v>
      </c>
      <c r="B37" s="60" t="n">
        <v>300</v>
      </c>
      <c r="C37" s="60" t="n">
        <v>17</v>
      </c>
      <c r="D37" s="66">
        <f>(A37+B37)/2</f>
        <v/>
      </c>
      <c r="E37" s="66">
        <f>B37-A37</f>
        <v/>
      </c>
      <c r="F37" s="66">
        <f>C37/E37</f>
        <v/>
      </c>
      <c r="G37" s="66">
        <f>D37*C37</f>
        <v/>
      </c>
      <c r="H37" s="66">
        <f>D37^2*C37</f>
        <v/>
      </c>
      <c r="I37" s="66">
        <f>I36+C37</f>
        <v/>
      </c>
    </row>
    <row r="38">
      <c r="A38" s="32" t="inlineStr">
        <is>
          <t>Total</t>
        </is>
      </c>
      <c r="C38" s="67">
        <f>SUM(C33:C37)</f>
        <v/>
      </c>
      <c r="G38" s="67">
        <f>SUM(G33:G37)</f>
        <v/>
      </c>
      <c r="H38" s="67">
        <f>SUM(H33:H37)</f>
        <v/>
      </c>
    </row>
    <row r="39"/>
    <row r="40">
      <c r="A40" s="32" t="inlineStr">
        <is>
          <t>Mediana</t>
        </is>
      </c>
      <c r="B40" s="57">
        <f>A35+(0.5*C38-I34)/C35*E35</f>
        <v/>
      </c>
      <c r="C40" s="58" t="inlineStr">
        <is>
          <t>→ =A35+(0,5*C38-I34)/C35*E35</t>
        </is>
      </c>
      <c r="F40" s="55" t="inlineStr">
        <is>
          <t>Intervalo de la fila 35</t>
        </is>
      </c>
    </row>
    <row r="41">
      <c r="A41" s="32" t="inlineStr">
        <is>
          <t>Moda (intervalos)</t>
        </is>
      </c>
      <c r="B41" s="57">
        <f>A35+(F35-F34)/((F35-F34)+(F35-F36))*E35</f>
        <v/>
      </c>
      <c r="C41" s="58" t="inlineStr">
        <is>
          <t>→ =A35+(F35-F34)/((F35-F34)+(F35-F36))*E35</t>
        </is>
      </c>
      <c r="F41" s="55" t="inlineStr">
        <is>
          <t>Intervalo modal: fila 35 (mayor densidad)</t>
        </is>
      </c>
    </row>
    <row r="42">
      <c r="A42" s="64" t="inlineStr">
        <is>
          <t>Norte (A Coruña + Lugo)</t>
        </is>
      </c>
    </row>
    <row r="43">
      <c r="A43" s="65" t="inlineStr">
        <is>
          <t>L inf</t>
        </is>
      </c>
      <c r="B43" s="65" t="inlineStr">
        <is>
          <t>L sup</t>
        </is>
      </c>
      <c r="C43" s="65" t="inlineStr">
        <is>
          <t>nᵢ</t>
        </is>
      </c>
      <c r="D43" s="65" t="inlineStr">
        <is>
          <t>Marca xᵢ</t>
        </is>
      </c>
      <c r="E43" s="65" t="inlineStr">
        <is>
          <t>Amplitud aᵢ</t>
        </is>
      </c>
      <c r="F43" s="65" t="inlineStr">
        <is>
          <t>Densidad dᵢ</t>
        </is>
      </c>
      <c r="G43" s="65" t="inlineStr">
        <is>
          <t>xᵢ·nᵢ</t>
        </is>
      </c>
      <c r="H43" s="65" t="inlineStr">
        <is>
          <t>xᵢ²·nᵢ</t>
        </is>
      </c>
      <c r="I43" s="65" t="inlineStr">
        <is>
          <t>Nᵢ (acum.)</t>
        </is>
      </c>
    </row>
    <row r="44">
      <c r="A44" s="60" t="n">
        <v>0</v>
      </c>
      <c r="B44" s="60" t="n">
        <v>60</v>
      </c>
      <c r="C44" s="60" t="n">
        <v>6</v>
      </c>
      <c r="D44" s="66">
        <f>(A44+B44)/2</f>
        <v/>
      </c>
      <c r="E44" s="66">
        <f>B44-A44</f>
        <v/>
      </c>
      <c r="F44" s="66">
        <f>C44/E44</f>
        <v/>
      </c>
      <c r="G44" s="66">
        <f>D44*C44</f>
        <v/>
      </c>
      <c r="H44" s="66">
        <f>D44^2*C44</f>
        <v/>
      </c>
      <c r="I44" s="66">
        <f>C44</f>
        <v/>
      </c>
    </row>
    <row r="45">
      <c r="A45" s="60" t="n">
        <v>60</v>
      </c>
      <c r="B45" s="60" t="n">
        <v>90</v>
      </c>
      <c r="C45" s="60" t="n">
        <v>10</v>
      </c>
      <c r="D45" s="66">
        <f>(A45+B45)/2</f>
        <v/>
      </c>
      <c r="E45" s="66">
        <f>B45-A45</f>
        <v/>
      </c>
      <c r="F45" s="66">
        <f>C45/E45</f>
        <v/>
      </c>
      <c r="G45" s="66">
        <f>D45*C45</f>
        <v/>
      </c>
      <c r="H45" s="66">
        <f>D45^2*C45</f>
        <v/>
      </c>
      <c r="I45" s="66">
        <f>I44+C45</f>
        <v/>
      </c>
    </row>
    <row r="46">
      <c r="A46" s="60" t="n">
        <v>90</v>
      </c>
      <c r="B46" s="60" t="n">
        <v>120</v>
      </c>
      <c r="C46" s="60" t="n">
        <v>16</v>
      </c>
      <c r="D46" s="66">
        <f>(A46+B46)/2</f>
        <v/>
      </c>
      <c r="E46" s="66">
        <f>B46-A46</f>
        <v/>
      </c>
      <c r="F46" s="66">
        <f>C46/E46</f>
        <v/>
      </c>
      <c r="G46" s="66">
        <f>D46*C46</f>
        <v/>
      </c>
      <c r="H46" s="66">
        <f>D46^2*C46</f>
        <v/>
      </c>
      <c r="I46" s="66">
        <f>I45+C46</f>
        <v/>
      </c>
    </row>
    <row r="47">
      <c r="A47" s="60" t="n">
        <v>120</v>
      </c>
      <c r="B47" s="60" t="n">
        <v>180</v>
      </c>
      <c r="C47" s="60" t="n">
        <v>35</v>
      </c>
      <c r="D47" s="66">
        <f>(A47+B47)/2</f>
        <v/>
      </c>
      <c r="E47" s="66">
        <f>B47-A47</f>
        <v/>
      </c>
      <c r="F47" s="66">
        <f>C47/E47</f>
        <v/>
      </c>
      <c r="G47" s="66">
        <f>D47*C47</f>
        <v/>
      </c>
      <c r="H47" s="66">
        <f>D47^2*C47</f>
        <v/>
      </c>
      <c r="I47" s="66">
        <f>I46+C47</f>
        <v/>
      </c>
    </row>
    <row r="48">
      <c r="A48" s="60" t="n">
        <v>180</v>
      </c>
      <c r="B48" s="60" t="n">
        <v>300</v>
      </c>
      <c r="C48" s="60" t="n">
        <v>12</v>
      </c>
      <c r="D48" s="66">
        <f>(A48+B48)/2</f>
        <v/>
      </c>
      <c r="E48" s="66">
        <f>B48-A48</f>
        <v/>
      </c>
      <c r="F48" s="66">
        <f>C48/E48</f>
        <v/>
      </c>
      <c r="G48" s="66">
        <f>D48*C48</f>
        <v/>
      </c>
      <c r="H48" s="66">
        <f>D48^2*C48</f>
        <v/>
      </c>
      <c r="I48" s="66">
        <f>I47+C48</f>
        <v/>
      </c>
    </row>
    <row r="49">
      <c r="A49" s="32" t="inlineStr">
        <is>
          <t>Total</t>
        </is>
      </c>
      <c r="C49" s="67">
        <f>SUM(C44:C48)</f>
        <v/>
      </c>
      <c r="G49" s="67">
        <f>SUM(G44:G48)</f>
        <v/>
      </c>
      <c r="H49" s="67">
        <f>SUM(H44:H48)</f>
        <v/>
      </c>
    </row>
    <row r="50"/>
    <row r="51">
      <c r="A51" s="32" t="inlineStr">
        <is>
          <t>Media</t>
        </is>
      </c>
      <c r="B51" s="57">
        <f>G49/C49</f>
        <v/>
      </c>
      <c r="C51" s="58" t="inlineStr">
        <is>
          <t>→ =G49/C49</t>
        </is>
      </c>
    </row>
    <row r="52">
      <c r="A52" s="32" t="inlineStr">
        <is>
          <t>Varianza S²</t>
        </is>
      </c>
      <c r="B52" s="57">
        <f>H49/C49-B51^2</f>
        <v/>
      </c>
      <c r="C52" s="58" t="inlineStr">
        <is>
          <t>→ =H49/C49-B51^2</t>
        </is>
      </c>
    </row>
    <row r="53">
      <c r="A53" s="32" t="inlineStr">
        <is>
          <t>Desviación típica S</t>
        </is>
      </c>
      <c r="B53" s="57">
        <f>SQRT(B52)</f>
        <v/>
      </c>
      <c r="C53" s="58" t="inlineStr">
        <is>
          <t>→ =RAIZ(B52)</t>
        </is>
      </c>
    </row>
    <row r="54">
      <c r="A54" s="32" t="inlineStr">
        <is>
          <t>Coef. de variación CV</t>
        </is>
      </c>
      <c r="B54" s="57">
        <f>B53/B51</f>
        <v/>
      </c>
      <c r="C54" s="58" t="inlineStr">
        <is>
          <t>→ =B53/B51</t>
        </is>
      </c>
    </row>
    <row r="55">
      <c r="A55" s="64" t="inlineStr">
        <is>
          <t>Sur (Ourense + Pontevedra)</t>
        </is>
      </c>
    </row>
    <row r="56">
      <c r="A56" s="65" t="inlineStr">
        <is>
          <t>L inf</t>
        </is>
      </c>
      <c r="B56" s="65" t="inlineStr">
        <is>
          <t>L sup</t>
        </is>
      </c>
      <c r="C56" s="65" t="inlineStr">
        <is>
          <t>nᵢ</t>
        </is>
      </c>
      <c r="D56" s="65" t="inlineStr">
        <is>
          <t>Marca xᵢ</t>
        </is>
      </c>
      <c r="E56" s="65" t="inlineStr">
        <is>
          <t>Amplitud aᵢ</t>
        </is>
      </c>
      <c r="F56" s="65" t="inlineStr">
        <is>
          <t>Densidad dᵢ</t>
        </is>
      </c>
      <c r="G56" s="65" t="inlineStr">
        <is>
          <t>xᵢ·nᵢ</t>
        </is>
      </c>
      <c r="H56" s="65" t="inlineStr">
        <is>
          <t>xᵢ²·nᵢ</t>
        </is>
      </c>
      <c r="I56" s="65" t="inlineStr">
        <is>
          <t>Nᵢ (acum.)</t>
        </is>
      </c>
    </row>
    <row r="57">
      <c r="A57" s="60" t="n">
        <v>0</v>
      </c>
      <c r="B57" s="60" t="n">
        <v>60</v>
      </c>
      <c r="C57" s="60" t="n">
        <v>9</v>
      </c>
      <c r="D57" s="66">
        <f>(A57+B57)/2</f>
        <v/>
      </c>
      <c r="E57" s="66">
        <f>B57-A57</f>
        <v/>
      </c>
      <c r="F57" s="66">
        <f>C57/E57</f>
        <v/>
      </c>
      <c r="G57" s="66">
        <f>D57*C57</f>
        <v/>
      </c>
      <c r="H57" s="66">
        <f>D57^2*C57</f>
        <v/>
      </c>
      <c r="I57" s="66">
        <f>C57</f>
        <v/>
      </c>
    </row>
    <row r="58">
      <c r="A58" s="60" t="n">
        <v>60</v>
      </c>
      <c r="B58" s="60" t="n">
        <v>90</v>
      </c>
      <c r="C58" s="60" t="n">
        <v>11</v>
      </c>
      <c r="D58" s="66">
        <f>(A58+B58)/2</f>
        <v/>
      </c>
      <c r="E58" s="66">
        <f>B58-A58</f>
        <v/>
      </c>
      <c r="F58" s="66">
        <f>C58/E58</f>
        <v/>
      </c>
      <c r="G58" s="66">
        <f>D58*C58</f>
        <v/>
      </c>
      <c r="H58" s="66">
        <f>D58^2*C58</f>
        <v/>
      </c>
      <c r="I58" s="66">
        <f>I57+C58</f>
        <v/>
      </c>
    </row>
    <row r="59">
      <c r="A59" s="60" t="n">
        <v>90</v>
      </c>
      <c r="B59" s="60" t="n">
        <v>120</v>
      </c>
      <c r="C59" s="60" t="n">
        <v>32</v>
      </c>
      <c r="D59" s="66">
        <f>(A59+B59)/2</f>
        <v/>
      </c>
      <c r="E59" s="66">
        <f>B59-A59</f>
        <v/>
      </c>
      <c r="F59" s="66">
        <f>C59/E59</f>
        <v/>
      </c>
      <c r="G59" s="66">
        <f>D59*C59</f>
        <v/>
      </c>
      <c r="H59" s="66">
        <f>D59^2*C59</f>
        <v/>
      </c>
      <c r="I59" s="66">
        <f>I58+C59</f>
        <v/>
      </c>
    </row>
    <row r="60">
      <c r="A60" s="60" t="n">
        <v>120</v>
      </c>
      <c r="B60" s="60" t="n">
        <v>180</v>
      </c>
      <c r="C60" s="60" t="n">
        <v>14</v>
      </c>
      <c r="D60" s="66">
        <f>(A60+B60)/2</f>
        <v/>
      </c>
      <c r="E60" s="66">
        <f>B60-A60</f>
        <v/>
      </c>
      <c r="F60" s="66">
        <f>C60/E60</f>
        <v/>
      </c>
      <c r="G60" s="66">
        <f>D60*C60</f>
        <v/>
      </c>
      <c r="H60" s="66">
        <f>D60^2*C60</f>
        <v/>
      </c>
      <c r="I60" s="66">
        <f>I59+C60</f>
        <v/>
      </c>
    </row>
    <row r="61">
      <c r="A61" s="60" t="n">
        <v>180</v>
      </c>
      <c r="B61" s="60" t="n">
        <v>300</v>
      </c>
      <c r="C61" s="60" t="n">
        <v>5</v>
      </c>
      <c r="D61" s="66">
        <f>(A61+B61)/2</f>
        <v/>
      </c>
      <c r="E61" s="66">
        <f>B61-A61</f>
        <v/>
      </c>
      <c r="F61" s="66">
        <f>C61/E61</f>
        <v/>
      </c>
      <c r="G61" s="66">
        <f>D61*C61</f>
        <v/>
      </c>
      <c r="H61" s="66">
        <f>D61^2*C61</f>
        <v/>
      </c>
      <c r="I61" s="66">
        <f>I60+C61</f>
        <v/>
      </c>
    </row>
    <row r="62">
      <c r="A62" s="32" t="inlineStr">
        <is>
          <t>Total</t>
        </is>
      </c>
      <c r="C62" s="67">
        <f>SUM(C57:C61)</f>
        <v/>
      </c>
      <c r="G62" s="67">
        <f>SUM(G57:G61)</f>
        <v/>
      </c>
      <c r="H62" s="67">
        <f>SUM(H57:H61)</f>
        <v/>
      </c>
    </row>
    <row r="63"/>
    <row r="64">
      <c r="A64" s="32" t="inlineStr">
        <is>
          <t>Media</t>
        </is>
      </c>
      <c r="B64" s="57">
        <f>G62/C62</f>
        <v/>
      </c>
      <c r="C64" s="58" t="inlineStr">
        <is>
          <t>→ =G62/C62</t>
        </is>
      </c>
    </row>
    <row r="65">
      <c r="A65" s="32" t="inlineStr">
        <is>
          <t>Varianza S²</t>
        </is>
      </c>
      <c r="B65" s="57">
        <f>H62/C62-B64^2</f>
        <v/>
      </c>
      <c r="C65" s="58" t="inlineStr">
        <is>
          <t>→ =H62/C62-B64^2</t>
        </is>
      </c>
    </row>
    <row r="66">
      <c r="A66" s="32" t="inlineStr">
        <is>
          <t>Desviación típica S</t>
        </is>
      </c>
      <c r="B66" s="57">
        <f>SQRT(B65)</f>
        <v/>
      </c>
      <c r="C66" s="58" t="inlineStr">
        <is>
          <t>→ =RAIZ(B65)</t>
        </is>
      </c>
    </row>
    <row r="67">
      <c r="A67" s="32" t="inlineStr">
        <is>
          <t>Coef. de variación CV</t>
        </is>
      </c>
      <c r="B67" s="57">
        <f>B66/B64</f>
        <v/>
      </c>
      <c r="C67" s="58" t="inlineStr">
        <is>
          <t>→ =B66/B64</t>
        </is>
      </c>
    </row>
  </sheetData>
  <hyperlinks>
    <hyperlink ref="I1" location="'Inicio'!A1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26"/>
  <sheetViews>
    <sheetView tabSelected="0" zoomScale="11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54" t="inlineStr">
        <is>
          <t>Temas 1-2 · Ejercicio 18</t>
        </is>
      </c>
      <c r="I1" s="20" t="inlineStr">
        <is>
          <t>← Volver al inicio</t>
        </is>
      </c>
    </row>
    <row r="2">
      <c r="A2" s="55" t="inlineStr">
        <is>
          <t>Cinturón y gravedad de las heridas</t>
        </is>
      </c>
    </row>
    <row r="3"/>
    <row r="4">
      <c r="A4" s="64" t="inlineStr">
        <is>
          <t>Tabla</t>
        </is>
      </c>
    </row>
    <row r="5">
      <c r="A5" s="65" t="inlineStr"/>
      <c r="B5" s="65" t="inlineStr">
        <is>
          <t>Con cinturón</t>
        </is>
      </c>
      <c r="C5" s="65" t="inlineStr">
        <is>
          <t>Sin cinturón</t>
        </is>
      </c>
      <c r="D5" s="65" t="inlineStr">
        <is>
          <t>Total</t>
        </is>
      </c>
    </row>
    <row r="6">
      <c r="A6" s="61" t="inlineStr">
        <is>
          <t>Grave</t>
        </is>
      </c>
      <c r="B6" s="60" t="n">
        <v>5244</v>
      </c>
      <c r="C6" s="60" t="n">
        <v>2730</v>
      </c>
      <c r="D6" s="61">
        <f>SUM(B6:C6)</f>
        <v/>
      </c>
    </row>
    <row r="7">
      <c r="A7" s="61" t="inlineStr">
        <is>
          <t>Leve</t>
        </is>
      </c>
      <c r="B7" s="60" t="n">
        <v>24351</v>
      </c>
      <c r="C7" s="60" t="n">
        <v>6412</v>
      </c>
      <c r="D7" s="61">
        <f>SUM(B7:C7)</f>
        <v/>
      </c>
    </row>
    <row r="8">
      <c r="A8" s="32" t="inlineStr">
        <is>
          <t>Total</t>
        </is>
      </c>
      <c r="B8">
        <f>SUM(B6:B7)</f>
        <v/>
      </c>
      <c r="C8">
        <f>SUM(C6:C7)</f>
        <v/>
      </c>
      <c r="D8">
        <f>SUM(D6:D7)</f>
        <v/>
      </c>
    </row>
    <row r="9"/>
    <row r="10">
      <c r="A10" s="71" t="inlineStr">
        <is>
          <t>Frecuencias relativas conjuntas fᵢⱼ = nᵢⱼ / n</t>
        </is>
      </c>
    </row>
    <row r="11">
      <c r="A11" s="65" t="inlineStr"/>
      <c r="B11" s="65" t="inlineStr">
        <is>
          <t>Con cinturón</t>
        </is>
      </c>
      <c r="C11" s="65" t="inlineStr">
        <is>
          <t>Sin cinturón</t>
        </is>
      </c>
      <c r="D11" s="65" t="inlineStr">
        <is>
          <t>fᵢ.</t>
        </is>
      </c>
    </row>
    <row r="12">
      <c r="A12" s="61" t="inlineStr">
        <is>
          <t>Grave</t>
        </is>
      </c>
      <c r="B12" s="66">
        <f>B6/$D$8</f>
        <v/>
      </c>
      <c r="C12" s="66">
        <f>C6/$D$8</f>
        <v/>
      </c>
      <c r="D12" s="66">
        <f>D6/$D$8</f>
        <v/>
      </c>
    </row>
    <row r="13">
      <c r="A13" s="61" t="inlineStr">
        <is>
          <t>Leve</t>
        </is>
      </c>
      <c r="B13" s="66">
        <f>B7/$D$8</f>
        <v/>
      </c>
      <c r="C13" s="66">
        <f>C7/$D$8</f>
        <v/>
      </c>
      <c r="D13" s="66">
        <f>D7/$D$8</f>
        <v/>
      </c>
    </row>
    <row r="14">
      <c r="A14" s="32" t="inlineStr">
        <is>
          <t>f.ⱼ</t>
        </is>
      </c>
      <c r="B14">
        <f>SUM(B12:B13)</f>
        <v/>
      </c>
      <c r="C14">
        <f>SUM(C12:C13)</f>
        <v/>
      </c>
      <c r="D14">
        <f>SUM(D12:D13)</f>
        <v/>
      </c>
    </row>
    <row r="15"/>
    <row r="16">
      <c r="A16" s="71" t="inlineStr">
        <is>
          <t>Si fueran independientes: fᵢ. × f.ⱼ  (compara casilla a casilla con la tabla de arriba)</t>
        </is>
      </c>
    </row>
    <row r="17">
      <c r="A17" s="65" t="inlineStr"/>
      <c r="B17" s="65" t="inlineStr">
        <is>
          <t>Con cinturón</t>
        </is>
      </c>
      <c r="C17" s="65" t="inlineStr">
        <is>
          <t>Sin cinturón</t>
        </is>
      </c>
    </row>
    <row r="18">
      <c r="A18" s="61" t="inlineStr">
        <is>
          <t>Grave</t>
        </is>
      </c>
      <c r="B18" s="66">
        <f>$D12*B$14</f>
        <v/>
      </c>
      <c r="C18" s="66">
        <f>$D12*C$14</f>
        <v/>
      </c>
    </row>
    <row r="19">
      <c r="A19" s="61" t="inlineStr">
        <is>
          <t>Leve</t>
        </is>
      </c>
      <c r="B19" s="66">
        <f>$D13*B$14</f>
        <v/>
      </c>
      <c r="C19" s="66">
        <f>$D13*C$14</f>
        <v/>
      </c>
    </row>
    <row r="20"/>
    <row r="21">
      <c r="A21" s="71" t="inlineStr">
        <is>
          <t>Distribuciones condicionadas por filas (% de cada fila)</t>
        </is>
      </c>
    </row>
    <row r="22">
      <c r="A22" s="65" t="inlineStr"/>
      <c r="B22" s="65" t="inlineStr">
        <is>
          <t>Con cinturón</t>
        </is>
      </c>
      <c r="C22" s="65" t="inlineStr">
        <is>
          <t>Sin cinturón</t>
        </is>
      </c>
    </row>
    <row r="23">
      <c r="A23" s="61" t="inlineStr">
        <is>
          <t>Grave</t>
        </is>
      </c>
      <c r="B23" s="72">
        <f>B6/$D6</f>
        <v/>
      </c>
      <c r="C23" s="72">
        <f>C6/$D6</f>
        <v/>
      </c>
    </row>
    <row r="24">
      <c r="A24" s="61" t="inlineStr">
        <is>
          <t>Leve</t>
        </is>
      </c>
      <c r="B24" s="72">
        <f>B7/$D7</f>
        <v/>
      </c>
      <c r="C24" s="72">
        <f>C7/$D7</f>
        <v/>
      </c>
    </row>
    <row r="25"/>
    <row r="26">
      <c r="A26" s="71" t="inlineStr">
        <is>
          <t>X | Con cinturón: grave 17,7 %, leve 82,3 %. Y | Leve: con 79,2 %, sin 20,8 %. No independientes.</t>
        </is>
      </c>
    </row>
  </sheetData>
  <hyperlinks>
    <hyperlink ref="I1" location="'Inicio'!A1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11"/>
  <sheetViews>
    <sheetView tabSelected="0" zoomScale="11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54" t="inlineStr">
        <is>
          <t>Temas 1-2 · Ejercicio 21</t>
        </is>
      </c>
      <c r="I1" s="20" t="inlineStr">
        <is>
          <t>← Volver al inicio</t>
        </is>
      </c>
    </row>
    <row r="2">
      <c r="A2" s="55" t="inlineStr">
        <is>
          <t>Desigualdad salarial mujeres/hombres</t>
        </is>
      </c>
    </row>
    <row r="3"/>
    <row r="4">
      <c r="A4" s="65" t="inlineStr">
        <is>
          <t>Grupo</t>
        </is>
      </c>
      <c r="B4" s="65" t="inlineStr">
        <is>
          <t>n</t>
        </is>
      </c>
      <c r="C4" s="65" t="inlineStr">
        <is>
          <t>Media</t>
        </is>
      </c>
      <c r="D4" s="65" t="inlineStr">
        <is>
          <t>Varianza</t>
        </is>
      </c>
      <c r="E4" s="65" t="inlineStr">
        <is>
          <t>CV</t>
        </is>
      </c>
      <c r="F4" s="65" t="inlineStr">
        <is>
          <t>(media−global)²·n</t>
        </is>
      </c>
    </row>
    <row r="5">
      <c r="A5" s="61" t="inlineStr">
        <is>
          <t>Mujeres</t>
        </is>
      </c>
      <c r="B5" s="60" t="n">
        <v>5</v>
      </c>
      <c r="C5" s="60" t="n">
        <v>2240</v>
      </c>
      <c r="D5" s="60" t="n">
        <v>34400</v>
      </c>
      <c r="E5" s="66">
        <f>SQRT(D5)/C5</f>
        <v/>
      </c>
      <c r="F5" s="61">
        <f>(C5-$B$7)^2*B5</f>
        <v/>
      </c>
    </row>
    <row r="6">
      <c r="A6" s="61" t="inlineStr">
        <is>
          <t>Hombres</t>
        </is>
      </c>
      <c r="B6" s="60" t="n">
        <v>5</v>
      </c>
      <c r="C6" s="60" t="n">
        <v>2860</v>
      </c>
      <c r="D6" s="60" t="n">
        <v>46400</v>
      </c>
      <c r="E6" s="66">
        <f>SQRT(D6)/C6</f>
        <v/>
      </c>
      <c r="F6" s="61">
        <f>(C6-$B$7)^2*B6</f>
        <v/>
      </c>
    </row>
    <row r="7">
      <c r="A7" s="32" t="inlineStr">
        <is>
          <t>Media global</t>
        </is>
      </c>
      <c r="B7" s="68">
        <f>SUMPRODUCT(B5:B6,C5:C6)/SUM(B5:B6)</f>
        <v/>
      </c>
      <c r="C7" s="58" t="inlineStr">
        <is>
          <t>→ =SUMAPRODUCTO(B5:B6;C5:C6)/SUMA(B5:B6)</t>
        </is>
      </c>
    </row>
    <row r="8">
      <c r="A8" s="32" t="inlineStr">
        <is>
          <t>Varianza dentro</t>
        </is>
      </c>
      <c r="B8" s="68">
        <f>SUMPRODUCT(B5:B6,D5:D6)/SUM(B5:B6)</f>
        <v/>
      </c>
      <c r="C8" s="58" t="inlineStr">
        <is>
          <t>→ =SUMAPRODUCTO(B5:B6;D5:D6)/SUMA(B5:B6)</t>
        </is>
      </c>
    </row>
    <row r="9">
      <c r="A9" s="32" t="inlineStr">
        <is>
          <t>Varianza entre</t>
        </is>
      </c>
      <c r="B9" s="68">
        <f>SUM(F5:F6)/SUM(B5:B6)</f>
        <v/>
      </c>
      <c r="C9" s="58" t="inlineStr">
        <is>
          <t>→ =SUMA(F5:F6)/SUMA(B5:B6)</t>
        </is>
      </c>
    </row>
    <row r="10">
      <c r="A10" s="32" t="inlineStr">
        <is>
          <t>Varianza total</t>
        </is>
      </c>
      <c r="B10" s="68">
        <f>B8+B9</f>
        <v/>
      </c>
      <c r="C10" s="58" t="inlineStr">
        <is>
          <t>→ =B8+B9</t>
        </is>
      </c>
    </row>
    <row r="11">
      <c r="A11" s="32" t="inlineStr">
        <is>
          <t>% debido a diferencias entre grupos</t>
        </is>
      </c>
      <c r="B11" s="70">
        <f>B9/B10</f>
        <v/>
      </c>
      <c r="C11" s="58" t="inlineStr">
        <is>
          <t>→ =B9/B10</t>
        </is>
      </c>
    </row>
  </sheetData>
  <hyperlinks>
    <hyperlink ref="I1" location="'Inicio'!A1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9"/>
  <sheetViews>
    <sheetView tabSelected="0" zoomScale="11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54" t="inlineStr">
        <is>
          <t>Temas 1-2 · Ejercicio 22</t>
        </is>
      </c>
      <c r="I1" s="20" t="inlineStr">
        <is>
          <t>← Volver al inicio</t>
        </is>
      </c>
    </row>
    <row r="2">
      <c r="A2" s="55" t="inlineStr">
        <is>
          <t>Cuatro propuestas salariales (media 2550, varianza 136500)</t>
        </is>
      </c>
    </row>
    <row r="3"/>
    <row r="4">
      <c r="A4" s="65" t="inlineStr">
        <is>
          <t>Propuesta</t>
        </is>
      </c>
      <c r="B4" s="65" t="inlineStr">
        <is>
          <t>a (multiplica)</t>
        </is>
      </c>
      <c r="C4" s="65" t="inlineStr">
        <is>
          <t>b (suma)</t>
        </is>
      </c>
      <c r="D4" s="65" t="inlineStr">
        <is>
          <t>Media</t>
        </is>
      </c>
      <c r="E4" s="65" t="inlineStr">
        <is>
          <t>Varianza</t>
        </is>
      </c>
    </row>
    <row r="5">
      <c r="A5" s="61" t="inlineStr">
        <is>
          <t>I: +50 €</t>
        </is>
      </c>
      <c r="B5" s="60" t="n">
        <v>1</v>
      </c>
      <c r="C5" s="60" t="n">
        <v>50</v>
      </c>
      <c r="D5" s="76">
        <f>B5*2550+C5</f>
        <v/>
      </c>
      <c r="E5" s="76">
        <f>B5^2*136500</f>
        <v/>
      </c>
    </row>
    <row r="6">
      <c r="A6" s="61" t="inlineStr">
        <is>
          <t>II: +2 %</t>
        </is>
      </c>
      <c r="B6" s="60" t="n">
        <v>1.02</v>
      </c>
      <c r="C6" s="60" t="n">
        <v>0</v>
      </c>
      <c r="D6" s="76">
        <f>B6*2550+C6</f>
        <v/>
      </c>
      <c r="E6" s="76">
        <f>B6^2*136500</f>
        <v/>
      </c>
    </row>
    <row r="7">
      <c r="A7" s="61" t="inlineStr">
        <is>
          <t>III: −1 %</t>
        </is>
      </c>
      <c r="B7" s="60" t="n">
        <v>0.99</v>
      </c>
      <c r="C7" s="60" t="n">
        <v>0</v>
      </c>
      <c r="D7" s="76">
        <f>B7*2550+C7</f>
        <v/>
      </c>
      <c r="E7" s="76">
        <f>B7^2*136500</f>
        <v/>
      </c>
    </row>
    <row r="8">
      <c r="A8" s="61" t="inlineStr">
        <is>
          <t>IV: +1 % y +25 €</t>
        </is>
      </c>
      <c r="B8" s="60" t="n">
        <v>1.01</v>
      </c>
      <c r="C8" s="60" t="n">
        <v>25</v>
      </c>
      <c r="D8" s="76">
        <f>B8*2550+C8</f>
        <v/>
      </c>
      <c r="E8" s="76">
        <f>B8^2*136500</f>
        <v/>
      </c>
    </row>
    <row r="9">
      <c r="A9" s="71" t="inlineStr">
        <is>
          <t>Fórmulas: media = a·2550 + b · varianza = a²·136500.</t>
        </is>
      </c>
    </row>
  </sheetData>
  <hyperlinks>
    <hyperlink ref="I1" location="'Inicio'!A1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33"/>
  <sheetViews>
    <sheetView tabSelected="0" zoomScale="11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54" t="inlineStr">
        <is>
          <t>Tema 3 · Antigüedad (X) y salario (Y)</t>
        </is>
      </c>
      <c r="I1" s="20" t="inlineStr">
        <is>
          <t>← Volver al inicio</t>
        </is>
      </c>
    </row>
    <row r="2"/>
    <row r="3">
      <c r="A3" s="65" t="inlineStr">
        <is>
          <t>X antigüedad</t>
        </is>
      </c>
      <c r="B3" s="65" t="inlineStr">
        <is>
          <t>Y salario</t>
        </is>
      </c>
      <c r="C3" s="65" t="inlineStr">
        <is>
          <t>X·Y</t>
        </is>
      </c>
      <c r="D3" s="65" t="inlineStr">
        <is>
          <t>X²</t>
        </is>
      </c>
      <c r="E3" s="65" t="inlineStr">
        <is>
          <t>Y²</t>
        </is>
      </c>
    </row>
    <row r="4">
      <c r="A4" s="60" t="n">
        <v>1</v>
      </c>
      <c r="B4" s="60" t="n">
        <v>1400</v>
      </c>
      <c r="C4" s="66">
        <f>A4*B4</f>
        <v/>
      </c>
      <c r="D4" s="66">
        <f>A4^2</f>
        <v/>
      </c>
      <c r="E4" s="66">
        <f>B4^2</f>
        <v/>
      </c>
    </row>
    <row r="5">
      <c r="A5" s="60" t="n">
        <v>2</v>
      </c>
      <c r="B5" s="60" t="n">
        <v>1600</v>
      </c>
      <c r="C5" s="66">
        <f>A5*B5</f>
        <v/>
      </c>
      <c r="D5" s="66">
        <f>A5^2</f>
        <v/>
      </c>
      <c r="E5" s="66">
        <f>B5^2</f>
        <v/>
      </c>
    </row>
    <row r="6">
      <c r="A6" s="60" t="n">
        <v>3</v>
      </c>
      <c r="B6" s="60" t="n">
        <v>1700</v>
      </c>
      <c r="C6" s="66">
        <f>A6*B6</f>
        <v/>
      </c>
      <c r="D6" s="66">
        <f>A6^2</f>
        <v/>
      </c>
      <c r="E6" s="66">
        <f>B6^2</f>
        <v/>
      </c>
    </row>
    <row r="7">
      <c r="A7" s="60" t="n">
        <v>5</v>
      </c>
      <c r="B7" s="60" t="n">
        <v>1700</v>
      </c>
      <c r="C7" s="66">
        <f>A7*B7</f>
        <v/>
      </c>
      <c r="D7" s="66">
        <f>A7^2</f>
        <v/>
      </c>
      <c r="E7" s="66">
        <f>B7^2</f>
        <v/>
      </c>
    </row>
    <row r="8">
      <c r="A8" s="60" t="n">
        <v>6</v>
      </c>
      <c r="B8" s="60" t="n">
        <v>1800</v>
      </c>
      <c r="C8" s="66">
        <f>A8*B8</f>
        <v/>
      </c>
      <c r="D8" s="66">
        <f>A8^2</f>
        <v/>
      </c>
      <c r="E8" s="66">
        <f>B8^2</f>
        <v/>
      </c>
    </row>
    <row r="9">
      <c r="A9" s="60" t="n">
        <v>7</v>
      </c>
      <c r="B9" s="60" t="n">
        <v>1850</v>
      </c>
      <c r="C9" s="66">
        <f>A9*B9</f>
        <v/>
      </c>
      <c r="D9" s="66">
        <f>A9^2</f>
        <v/>
      </c>
      <c r="E9" s="66">
        <f>B9^2</f>
        <v/>
      </c>
    </row>
    <row r="10">
      <c r="A10" s="60" t="n">
        <v>9</v>
      </c>
      <c r="B10" s="60" t="n">
        <v>2200</v>
      </c>
      <c r="C10" s="66">
        <f>A10*B10</f>
        <v/>
      </c>
      <c r="D10" s="66">
        <f>A10^2</f>
        <v/>
      </c>
      <c r="E10" s="66">
        <f>B10^2</f>
        <v/>
      </c>
    </row>
    <row r="11">
      <c r="A11" s="60" t="n">
        <v>10</v>
      </c>
      <c r="B11" s="60" t="n">
        <v>2400</v>
      </c>
      <c r="C11" s="66">
        <f>A11*B11</f>
        <v/>
      </c>
      <c r="D11" s="66">
        <f>A11^2</f>
        <v/>
      </c>
      <c r="E11" s="66">
        <f>B11^2</f>
        <v/>
      </c>
    </row>
    <row r="12">
      <c r="A12" s="60" t="n">
        <v>12</v>
      </c>
      <c r="B12" s="60" t="n">
        <v>2250</v>
      </c>
      <c r="C12" s="66">
        <f>A12*B12</f>
        <v/>
      </c>
      <c r="D12" s="66">
        <f>A12^2</f>
        <v/>
      </c>
      <c r="E12" s="66">
        <f>B12^2</f>
        <v/>
      </c>
    </row>
    <row r="13">
      <c r="A13" s="60" t="n">
        <v>15</v>
      </c>
      <c r="B13" s="60" t="n">
        <v>2500</v>
      </c>
      <c r="C13" s="66">
        <f>A13*B13</f>
        <v/>
      </c>
      <c r="D13" s="66">
        <f>A13^2</f>
        <v/>
      </c>
      <c r="E13" s="66">
        <f>B13^2</f>
        <v/>
      </c>
    </row>
    <row r="14"/>
    <row r="15">
      <c r="A15" s="64" t="inlineStr">
        <is>
          <t>Con funciones de Excel</t>
        </is>
      </c>
    </row>
    <row r="16">
      <c r="A16" s="32" t="inlineStr">
        <is>
          <t>Covarianza</t>
        </is>
      </c>
      <c r="B16" s="57">
        <f>_xlfn.COVARIANCE.P(A4:A13,B4:B13)</f>
        <v/>
      </c>
      <c r="C16" s="58" t="inlineStr">
        <is>
          <t>→ =COVARIANZA.P(A4:A13;B4:B13)</t>
        </is>
      </c>
    </row>
    <row r="17">
      <c r="A17" s="32" t="inlineStr">
        <is>
          <t>Pendiente b</t>
        </is>
      </c>
      <c r="B17" s="57">
        <f>SLOPE(B4:B13,A4:A13)</f>
        <v/>
      </c>
      <c r="C17" s="58" t="inlineStr">
        <is>
          <t>→ =PENDIENTE(B4:B13;A4:A13)</t>
        </is>
      </c>
      <c r="F17" s="55" t="inlineStr">
        <is>
          <t>Por cada año más, +78,53 € de media</t>
        </is>
      </c>
    </row>
    <row r="18">
      <c r="A18" s="32" t="inlineStr">
        <is>
          <t>Término independiente a</t>
        </is>
      </c>
      <c r="B18" s="57">
        <f>INTERCEPT(B4:B13,A4:A13)</f>
        <v/>
      </c>
      <c r="C18" s="58" t="inlineStr">
        <is>
          <t>→ =INTERSECCION.EJE(B4:B13;A4:A13)</t>
        </is>
      </c>
    </row>
    <row r="19">
      <c r="A19" s="32" t="inlineStr">
        <is>
          <t>Correlación r</t>
        </is>
      </c>
      <c r="B19" s="57">
        <f>CORREL(A4:A13,B4:B13)</f>
        <v/>
      </c>
      <c r="C19" s="58" t="inlineStr">
        <is>
          <t>→ =COEF.DE.CORREL(A4:A13;B4:B13)</t>
        </is>
      </c>
    </row>
    <row r="20">
      <c r="A20" s="32" t="inlineStr">
        <is>
          <t>R²</t>
        </is>
      </c>
      <c r="B20" s="57">
        <f>RSQ(B4:B13,A4:A13)</f>
        <v/>
      </c>
      <c r="C20" s="58" t="inlineStr">
        <is>
          <t>→ =COEFICIENTE.R2(B4:B13;A4:A13)</t>
        </is>
      </c>
      <c r="F20" s="55" t="inlineStr">
        <is>
          <t>El 91,6 % del salario se explica por la antigüedad</t>
        </is>
      </c>
    </row>
    <row r="21">
      <c r="A21" s="32" t="inlineStr">
        <is>
          <t>Predicción X = 11</t>
        </is>
      </c>
      <c r="B21" s="68">
        <f>_xlfn.FORECAST.LINEAR(11,B4:B13,A4:A13)</f>
        <v/>
      </c>
      <c r="C21" s="58" t="inlineStr">
        <is>
          <t>→ =PRONOSTICO.LINEAL(11;B4:B13;A4:A13)</t>
        </is>
      </c>
    </row>
    <row r="22">
      <c r="A22" s="32" t="inlineStr">
        <is>
          <t>Predicción X = 8</t>
        </is>
      </c>
      <c r="B22" s="68">
        <f>_xlfn.FORECAST.LINEAR(8,B4:B13,A4:A13)</f>
        <v/>
      </c>
      <c r="C22" s="58" t="inlineStr">
        <is>
          <t>→ =PRONOSTICO.LINEAL(8;B4:B13;A4:A13)</t>
        </is>
      </c>
    </row>
    <row r="23"/>
    <row r="24">
      <c r="A24" s="64" t="inlineStr">
        <is>
          <t>Con las fórmulas de clase</t>
        </is>
      </c>
    </row>
    <row r="25">
      <c r="A25" s="32" t="inlineStr">
        <is>
          <t>Media X</t>
        </is>
      </c>
      <c r="B25" s="57">
        <f>AVERAGE(A4:A13)</f>
        <v/>
      </c>
      <c r="C25" s="58" t="inlineStr">
        <is>
          <t>→ =PROMEDIO(A4:A13)</t>
        </is>
      </c>
    </row>
    <row r="26">
      <c r="A26" s="32" t="inlineStr">
        <is>
          <t>Media Y</t>
        </is>
      </c>
      <c r="B26" s="57">
        <f>AVERAGE(B4:B13)</f>
        <v/>
      </c>
      <c r="C26" s="58" t="inlineStr">
        <is>
          <t>→ =PROMEDIO(B4:B13)</t>
        </is>
      </c>
    </row>
    <row r="27">
      <c r="A27" s="32" t="inlineStr">
        <is>
          <t>Varianza X</t>
        </is>
      </c>
      <c r="B27" s="57">
        <f>_xlfn.VAR.P(A4:A13)</f>
        <v/>
      </c>
      <c r="C27" s="58" t="inlineStr">
        <is>
          <t>→ =VAR.P(A4:A13)</t>
        </is>
      </c>
    </row>
    <row r="28">
      <c r="A28" s="32" t="inlineStr">
        <is>
          <t>Varianza Y</t>
        </is>
      </c>
      <c r="B28" s="57">
        <f>_xlfn.VAR.P(B4:B13)</f>
        <v/>
      </c>
      <c r="C28" s="58" t="inlineStr">
        <is>
          <t>→ =VAR.P(B4:B13)</t>
        </is>
      </c>
    </row>
    <row r="29">
      <c r="A29" s="32" t="inlineStr">
        <is>
          <t>Covarianza = Σxy/n − x̄·ȳ</t>
        </is>
      </c>
      <c r="B29" s="57">
        <f>SUM(C4:C13)/COUNT(A4:A13)-B25*B26</f>
        <v/>
      </c>
      <c r="C29" s="58" t="inlineStr">
        <is>
          <t>→ =SUMA(C4:C13)/CONTAR(A4:A13)-B25*B26</t>
        </is>
      </c>
    </row>
    <row r="30">
      <c r="A30" s="32" t="inlineStr">
        <is>
          <t>b = Sxy / Sx²</t>
        </is>
      </c>
      <c r="B30" s="57">
        <f>B29/B27</f>
        <v/>
      </c>
      <c r="C30" s="58" t="inlineStr">
        <is>
          <t>→ =B29/B27</t>
        </is>
      </c>
    </row>
    <row r="31">
      <c r="A31" s="32" t="inlineStr">
        <is>
          <t>a = ȳ − b·x̄</t>
        </is>
      </c>
      <c r="B31" s="57">
        <f>B26-B30*B25</f>
        <v/>
      </c>
      <c r="C31" s="58" t="inlineStr">
        <is>
          <t>→ =B26-B30*B25</t>
        </is>
      </c>
    </row>
    <row r="32">
      <c r="A32" s="32" t="inlineStr">
        <is>
          <t>r = Sxy/(Sx·Sy)</t>
        </is>
      </c>
      <c r="B32" s="57">
        <f>B29/SQRT(B27*B28)</f>
        <v/>
      </c>
      <c r="C32" s="58" t="inlineStr">
        <is>
          <t>→ =B29/RAIZ(B27*B28)</t>
        </is>
      </c>
    </row>
    <row r="33">
      <c r="A33" s="71" t="inlineStr">
        <is>
          <t>Para el gráfico: selecciona A y B → Insertar → Dispersión → clic derecho en un punto → Agregar línea de tendencia → marcar ecuación y R².</t>
        </is>
      </c>
    </row>
  </sheetData>
  <hyperlinks>
    <hyperlink ref="I1" location="'Inicio'!A1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42"/>
  <sheetViews>
    <sheetView tabSelected="0" zoomScale="11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54" t="inlineStr">
        <is>
          <t>Tema 3 · Ejercicios 1, 2 y 4 (sin datos sueltos)</t>
        </is>
      </c>
      <c r="I1" s="20" t="inlineStr">
        <is>
          <t>← Volver al inicio</t>
        </is>
      </c>
    </row>
    <row r="2">
      <c r="A2" s="55" t="inlineStr">
        <is>
          <t>Se trabaja con los resúmenes del enunciado</t>
        </is>
      </c>
    </row>
    <row r="3"/>
    <row r="4">
      <c r="A4" s="64" t="inlineStr">
        <is>
          <t>Ejercicio 1</t>
        </is>
      </c>
    </row>
    <row r="5">
      <c r="A5" t="inlineStr">
        <is>
          <t>x̄</t>
        </is>
      </c>
      <c r="B5" s="59" t="n">
        <v>60</v>
      </c>
    </row>
    <row r="6">
      <c r="A6" t="inlineStr">
        <is>
          <t>ȳ</t>
        </is>
      </c>
      <c r="B6" s="59" t="n">
        <v>850</v>
      </c>
    </row>
    <row r="7">
      <c r="A7" t="inlineStr">
        <is>
          <t>Sx</t>
        </is>
      </c>
      <c r="B7" s="59" t="n">
        <v>40</v>
      </c>
    </row>
    <row r="8">
      <c r="A8" t="inlineStr">
        <is>
          <t>Sy</t>
        </is>
      </c>
      <c r="B8" s="59" t="n">
        <v>500</v>
      </c>
    </row>
    <row r="9">
      <c r="A9" t="inlineStr">
        <is>
          <t>Sxy</t>
        </is>
      </c>
      <c r="B9" s="59" t="n">
        <v>19200</v>
      </c>
    </row>
    <row r="10">
      <c r="A10" s="32" t="inlineStr">
        <is>
          <t>b = Sxy / Sx²</t>
        </is>
      </c>
      <c r="B10" s="57">
        <f>B9/B7^2</f>
        <v/>
      </c>
      <c r="C10" s="58" t="inlineStr">
        <is>
          <t>→ =B9/B7^2</t>
        </is>
      </c>
    </row>
    <row r="11">
      <c r="A11" s="32" t="inlineStr">
        <is>
          <t>a = ȳ − b·x̄</t>
        </is>
      </c>
      <c r="B11" s="57">
        <f>B6-B10*B5</f>
        <v/>
      </c>
      <c r="C11" s="58" t="inlineStr">
        <is>
          <t>→ =B6-B10*B5</t>
        </is>
      </c>
    </row>
    <row r="12">
      <c r="A12" s="32" t="inlineStr">
        <is>
          <t>R²</t>
        </is>
      </c>
      <c r="B12" s="57">
        <f>(B9/(B7*B8))^2</f>
        <v/>
      </c>
      <c r="C12" s="58" t="inlineStr">
        <is>
          <t>→ =(B9/(B7*B8))^2</t>
        </is>
      </c>
    </row>
    <row r="13">
      <c r="A13" s="32" t="inlineStr">
        <is>
          <t>Ventas con X = 100</t>
        </is>
      </c>
      <c r="B13" s="68">
        <f>B11+B10*100</f>
        <v/>
      </c>
      <c r="C13" s="58" t="inlineStr">
        <is>
          <t>→ =B11+B10*100</t>
        </is>
      </c>
    </row>
    <row r="14"/>
    <row r="15">
      <c r="A15" s="64" t="inlineStr">
        <is>
          <t>Ejercicio 2 (sumatorios, n = 25)</t>
        </is>
      </c>
    </row>
    <row r="16">
      <c r="A16" t="inlineStr">
        <is>
          <t>n</t>
        </is>
      </c>
      <c r="B16" s="59" t="n">
        <v>25</v>
      </c>
    </row>
    <row r="17">
      <c r="A17" t="inlineStr">
        <is>
          <t>ΣY</t>
        </is>
      </c>
      <c r="B17" s="59" t="n">
        <v>22.6</v>
      </c>
    </row>
    <row r="18">
      <c r="A18" t="inlineStr">
        <is>
          <t>ΣX</t>
        </is>
      </c>
      <c r="B18" s="59" t="n">
        <v>25.4</v>
      </c>
    </row>
    <row r="19">
      <c r="A19" t="inlineStr">
        <is>
          <t>ΣY²</t>
        </is>
      </c>
      <c r="B19" s="59" t="n">
        <v>172</v>
      </c>
    </row>
    <row r="20">
      <c r="A20" t="inlineStr">
        <is>
          <t>ΣX²</t>
        </is>
      </c>
      <c r="B20" s="59" t="n">
        <v>145.7</v>
      </c>
    </row>
    <row r="21">
      <c r="A21" t="inlineStr">
        <is>
          <t>ΣXY</t>
        </is>
      </c>
      <c r="B21" s="59" t="n">
        <v>150.5</v>
      </c>
    </row>
    <row r="22">
      <c r="A22" s="32" t="inlineStr">
        <is>
          <t>x̄</t>
        </is>
      </c>
      <c r="B22" s="57">
        <f>B18/B16</f>
        <v/>
      </c>
      <c r="C22" s="58" t="inlineStr">
        <is>
          <t>→ =B18/B16</t>
        </is>
      </c>
    </row>
    <row r="23">
      <c r="A23" s="32" t="inlineStr">
        <is>
          <t>ȳ</t>
        </is>
      </c>
      <c r="B23" s="57">
        <f>B17/B16</f>
        <v/>
      </c>
      <c r="C23" s="58" t="inlineStr">
        <is>
          <t>→ =B17/B16</t>
        </is>
      </c>
    </row>
    <row r="24">
      <c r="A24" s="32" t="inlineStr">
        <is>
          <t>Sx²</t>
        </is>
      </c>
      <c r="B24" s="57">
        <f>B20/B16-B22^2</f>
        <v/>
      </c>
      <c r="C24" s="58" t="inlineStr">
        <is>
          <t>→ =B20/B16-B22^2</t>
        </is>
      </c>
    </row>
    <row r="25">
      <c r="A25" s="32" t="inlineStr">
        <is>
          <t>Sy²</t>
        </is>
      </c>
      <c r="B25" s="57">
        <f>B19/B16-B23^2</f>
        <v/>
      </c>
      <c r="C25" s="58" t="inlineStr">
        <is>
          <t>→ =B19/B16-B23^2</t>
        </is>
      </c>
    </row>
    <row r="26">
      <c r="A26" s="32" t="inlineStr">
        <is>
          <t>Sxy</t>
        </is>
      </c>
      <c r="B26" s="57">
        <f>B21/B16-B22*B23</f>
        <v/>
      </c>
      <c r="C26" s="58" t="inlineStr">
        <is>
          <t>→ =B21/B16-B22*B23</t>
        </is>
      </c>
    </row>
    <row r="27">
      <c r="A27" s="32" t="inlineStr">
        <is>
          <t>b</t>
        </is>
      </c>
      <c r="B27" s="57">
        <f>B26/B24</f>
        <v/>
      </c>
      <c r="C27" s="58" t="inlineStr">
        <is>
          <t>→ =B26/B24</t>
        </is>
      </c>
    </row>
    <row r="28">
      <c r="A28" s="32" t="inlineStr">
        <is>
          <t>a</t>
        </is>
      </c>
      <c r="B28" s="57">
        <f>B23-B27*B22</f>
        <v/>
      </c>
      <c r="C28" s="58" t="inlineStr">
        <is>
          <t>→ =B23-B27*B22</t>
        </is>
      </c>
    </row>
    <row r="29">
      <c r="A29" s="32" t="inlineStr">
        <is>
          <t>R²</t>
        </is>
      </c>
      <c r="B29" s="57">
        <f>B26^2/(B24*B25)</f>
        <v/>
      </c>
      <c r="C29" s="58" t="inlineStr">
        <is>
          <t>→ =B26^2/(B24*B25)</t>
        </is>
      </c>
    </row>
    <row r="30">
      <c r="A30" s="32" t="inlineStr">
        <is>
          <t>Predicción X = 1,5</t>
        </is>
      </c>
      <c r="B30" s="57">
        <f>B28+B27*1.5</f>
        <v/>
      </c>
      <c r="C30" s="58" t="inlineStr">
        <is>
          <t>→ =B28+B27*1,5</t>
        </is>
      </c>
    </row>
    <row r="31"/>
    <row r="32">
      <c r="A32" s="64" t="inlineStr">
        <is>
          <t>Ejercicio 4</t>
        </is>
      </c>
    </row>
    <row r="33">
      <c r="A33" t="inlineStr">
        <is>
          <t>x̄</t>
        </is>
      </c>
      <c r="B33" s="59" t="n">
        <v>115</v>
      </c>
    </row>
    <row r="34">
      <c r="A34" t="inlineStr">
        <is>
          <t>ȳ</t>
        </is>
      </c>
      <c r="B34" s="59" t="n">
        <v>130</v>
      </c>
    </row>
    <row r="35">
      <c r="A35" t="inlineStr">
        <is>
          <t>Sx</t>
        </is>
      </c>
      <c r="B35" s="59" t="n">
        <v>20</v>
      </c>
    </row>
    <row r="36">
      <c r="A36" t="inlineStr">
        <is>
          <t>Sy</t>
        </is>
      </c>
      <c r="B36" s="59" t="n">
        <v>25</v>
      </c>
    </row>
    <row r="37">
      <c r="A37" t="inlineStr">
        <is>
          <t>Sxy</t>
        </is>
      </c>
      <c r="B37" s="59" t="n">
        <v>480</v>
      </c>
    </row>
    <row r="38">
      <c r="A38" s="32" t="inlineStr">
        <is>
          <t>b</t>
        </is>
      </c>
      <c r="B38" s="57">
        <f>B37/B35^2</f>
        <v/>
      </c>
      <c r="C38" s="58" t="inlineStr">
        <is>
          <t>→ =B37/B35^2</t>
        </is>
      </c>
    </row>
    <row r="39">
      <c r="A39" s="32" t="inlineStr">
        <is>
          <t>a</t>
        </is>
      </c>
      <c r="B39" s="57">
        <f>B34-B38*B33</f>
        <v/>
      </c>
      <c r="C39" s="58" t="inlineStr">
        <is>
          <t>→ =B34-B38*B33</t>
        </is>
      </c>
    </row>
    <row r="40">
      <c r="A40" s="32" t="inlineStr">
        <is>
          <t>r</t>
        </is>
      </c>
      <c r="B40" s="57">
        <f>B37/(B35*B36)</f>
        <v/>
      </c>
      <c r="C40" s="58" t="inlineStr">
        <is>
          <t>→ =B37/(B35*B36)</t>
        </is>
      </c>
    </row>
    <row r="41">
      <c r="A41" s="32" t="inlineStr">
        <is>
          <t>R²</t>
        </is>
      </c>
      <c r="B41" s="57">
        <f>B40^2</f>
        <v/>
      </c>
      <c r="C41" s="58" t="inlineStr">
        <is>
          <t>→ =B40^2</t>
        </is>
      </c>
    </row>
    <row r="42">
      <c r="A42" s="32" t="inlineStr">
        <is>
          <t>Precio si X = 100</t>
        </is>
      </c>
      <c r="B42" s="57">
        <f>B39+B38*100</f>
        <v/>
      </c>
      <c r="C42" s="58" t="inlineStr">
        <is>
          <t>→ =B39+B38*100</t>
        </is>
      </c>
    </row>
  </sheetData>
  <hyperlinks>
    <hyperlink ref="I1" location="'Inicio'!A1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14"/>
  <sheetViews>
    <sheetView tabSelected="0" zoomScale="11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54" t="inlineStr">
        <is>
          <t>Tema 3 · Ejercicio 3: precio por hora y clientes</t>
        </is>
      </c>
      <c r="I1" s="20" t="inlineStr">
        <is>
          <t>← Volver al inicio</t>
        </is>
      </c>
    </row>
    <row r="2"/>
    <row r="3">
      <c r="A3" s="65" t="inlineStr">
        <is>
          <t>X</t>
        </is>
      </c>
      <c r="B3" s="65" t="inlineStr">
        <is>
          <t>Y</t>
        </is>
      </c>
    </row>
    <row r="4">
      <c r="A4" s="60" t="n">
        <v>20.4</v>
      </c>
      <c r="B4" s="60" t="n">
        <v>80</v>
      </c>
    </row>
    <row r="5">
      <c r="A5" s="60" t="n">
        <v>21.8</v>
      </c>
      <c r="B5" s="60" t="n">
        <v>64</v>
      </c>
    </row>
    <row r="6">
      <c r="A6" s="60" t="n">
        <v>22</v>
      </c>
      <c r="B6" s="60" t="n">
        <v>46</v>
      </c>
    </row>
    <row r="7">
      <c r="A7" s="60" t="n">
        <v>23</v>
      </c>
      <c r="B7" s="60" t="n">
        <v>50</v>
      </c>
    </row>
    <row r="8">
      <c r="A8" s="60" t="n">
        <v>23.6</v>
      </c>
      <c r="B8" s="60" t="n">
        <v>51</v>
      </c>
    </row>
    <row r="9"/>
    <row r="10">
      <c r="A10" s="32" t="inlineStr">
        <is>
          <t>Pendiente b</t>
        </is>
      </c>
      <c r="B10" s="57">
        <f>SLOPE(B4:B8,A4:A8)</f>
        <v/>
      </c>
      <c r="C10" s="58" t="inlineStr">
        <is>
          <t>→ =PENDIENTE(B4:B8;A4:A8)</t>
        </is>
      </c>
    </row>
    <row r="11">
      <c r="A11" s="32" t="inlineStr">
        <is>
          <t>a</t>
        </is>
      </c>
      <c r="B11" s="57">
        <f>INTERCEPT(B4:B8,A4:A8)</f>
        <v/>
      </c>
      <c r="C11" s="58" t="inlineStr">
        <is>
          <t>→ =INTERSECCION.EJE(B4:B8;A4:A8)</t>
        </is>
      </c>
    </row>
    <row r="12">
      <c r="A12" s="32" t="inlineStr">
        <is>
          <t>r</t>
        </is>
      </c>
      <c r="B12" s="57">
        <f>CORREL(A4:A8,B4:B8)</f>
        <v/>
      </c>
      <c r="C12" s="58" t="inlineStr">
        <is>
          <t>→ =COEF.DE.CORREL(A4:A8;B4:B8)</t>
        </is>
      </c>
    </row>
    <row r="13">
      <c r="A13" s="32" t="inlineStr">
        <is>
          <t>R²</t>
        </is>
      </c>
      <c r="B13" s="57">
        <f>RSQ(B4:B8,A4:A8)</f>
        <v/>
      </c>
      <c r="C13" s="58" t="inlineStr">
        <is>
          <t>→ =COEFICIENTE.R2(B4:B8;A4:A8)</t>
        </is>
      </c>
    </row>
    <row r="14">
      <c r="A14" s="32" t="inlineStr">
        <is>
          <t>1 − R² (no explicado)</t>
        </is>
      </c>
      <c r="B14" s="70">
        <f>1-B13</f>
        <v/>
      </c>
      <c r="C14" s="58" t="inlineStr">
        <is>
          <t>→ =1-B13</t>
        </is>
      </c>
    </row>
  </sheetData>
  <hyperlinks>
    <hyperlink ref="I1" location="'Inicio'!A1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17"/>
  <sheetViews>
    <sheetView tabSelected="0" zoomScale="11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54" t="inlineStr">
        <is>
          <t>Tema 3 · Ejercicio 5: vertidos y sanciones</t>
        </is>
      </c>
      <c r="I1" s="20" t="inlineStr">
        <is>
          <t>← Volver al inicio</t>
        </is>
      </c>
    </row>
    <row r="2"/>
    <row r="3">
      <c r="A3" s="65" t="inlineStr">
        <is>
          <t>X</t>
        </is>
      </c>
      <c r="B3" s="65" t="inlineStr">
        <is>
          <t>Y</t>
        </is>
      </c>
    </row>
    <row r="4">
      <c r="A4" s="60" t="n">
        <v>0.5</v>
      </c>
      <c r="B4" s="60" t="n">
        <v>100</v>
      </c>
    </row>
    <row r="5">
      <c r="A5" s="60" t="n">
        <v>1</v>
      </c>
      <c r="B5" s="60" t="n">
        <v>300</v>
      </c>
    </row>
    <row r="6">
      <c r="A6" s="60" t="n">
        <v>1.5</v>
      </c>
      <c r="B6" s="60" t="n">
        <v>500</v>
      </c>
    </row>
    <row r="7">
      <c r="A7" s="60" t="n">
        <v>2</v>
      </c>
      <c r="B7" s="60" t="n">
        <v>800</v>
      </c>
    </row>
    <row r="8">
      <c r="A8" s="60" t="n">
        <v>2.5</v>
      </c>
      <c r="B8" s="60" t="n">
        <v>1100</v>
      </c>
    </row>
    <row r="9">
      <c r="A9" s="60" t="n">
        <v>3</v>
      </c>
      <c r="B9" s="60" t="n">
        <v>1500</v>
      </c>
    </row>
    <row r="10">
      <c r="A10" s="60" t="n">
        <v>3.5</v>
      </c>
      <c r="B10" s="60" t="n">
        <v>2400</v>
      </c>
    </row>
    <row r="11"/>
    <row r="12">
      <c r="A12" s="32" t="inlineStr">
        <is>
          <t>Pendiente b</t>
        </is>
      </c>
      <c r="B12" s="57">
        <f>SLOPE(B4:B10,A4:A10)</f>
        <v/>
      </c>
      <c r="C12" s="58" t="inlineStr">
        <is>
          <t>→ =PENDIENTE(B4:B10;A4:A10)</t>
        </is>
      </c>
    </row>
    <row r="13">
      <c r="A13" s="32" t="inlineStr">
        <is>
          <t>a</t>
        </is>
      </c>
      <c r="B13" s="57">
        <f>INTERCEPT(B4:B10,A4:A10)</f>
        <v/>
      </c>
      <c r="C13" s="58" t="inlineStr">
        <is>
          <t>→ =INTERSECCION.EJE(B4:B10;A4:A10)</t>
        </is>
      </c>
    </row>
    <row r="14">
      <c r="A14" s="32" t="inlineStr">
        <is>
          <t>r</t>
        </is>
      </c>
      <c r="B14" s="57">
        <f>CORREL(A4:A10,B4:B10)</f>
        <v/>
      </c>
      <c r="C14" s="58" t="inlineStr">
        <is>
          <t>→ =COEF.DE.CORREL(A4:A10;B4:B10)</t>
        </is>
      </c>
    </row>
    <row r="15">
      <c r="A15" s="32" t="inlineStr">
        <is>
          <t>R²</t>
        </is>
      </c>
      <c r="B15" s="57">
        <f>RSQ(B4:B10,A4:A10)</f>
        <v/>
      </c>
      <c r="C15" s="58" t="inlineStr">
        <is>
          <t>→ =COEFICIENTE.R2(B4:B10;A4:A10)</t>
        </is>
      </c>
    </row>
    <row r="16">
      <c r="A16" s="32" t="inlineStr">
        <is>
          <t>1 − R² (no explicado)</t>
        </is>
      </c>
      <c r="B16" s="70">
        <f>1-B15</f>
        <v/>
      </c>
      <c r="C16" s="58" t="inlineStr">
        <is>
          <t>→ =1-B15</t>
        </is>
      </c>
    </row>
    <row r="17">
      <c r="A17" s="32" t="inlineStr">
        <is>
          <t>Predicción X = 2.2</t>
        </is>
      </c>
      <c r="B17" s="68">
        <f>_xlfn.FORECAST.LINEAR(2.2,B4:B10,A4:A10)</f>
        <v/>
      </c>
      <c r="C17" s="58" t="inlineStr">
        <is>
          <t>→ =PRONOSTICO.LINEAL(2,2;B4:B10;A4:A10)</t>
        </is>
      </c>
    </row>
  </sheetData>
  <hyperlinks>
    <hyperlink ref="I1" location="'Inicio'!A1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15"/>
  <sheetViews>
    <sheetView tabSelected="0" zoomScale="11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54" t="inlineStr">
        <is>
          <t>Tema 3 · Ejercicios 6 y 7</t>
        </is>
      </c>
      <c r="I1" s="20" t="inlineStr">
        <is>
          <t>← Volver al inicio</t>
        </is>
      </c>
    </row>
    <row r="2">
      <c r="A2" s="55" t="inlineStr">
        <is>
          <t>Despejar datos de la recta</t>
        </is>
      </c>
    </row>
    <row r="3"/>
    <row r="4">
      <c r="A4" s="64" t="inlineStr">
        <is>
          <t>Ejercicio 6: Ŷ = 2 − 3X, R² = 0,81, x̄ = 2, Sy = 10</t>
        </is>
      </c>
    </row>
    <row r="5">
      <c r="A5" s="32" t="inlineStr">
        <is>
          <t>ȳ</t>
        </is>
      </c>
      <c r="B5" s="57">
        <f>2-3*2</f>
        <v/>
      </c>
      <c r="C5" s="58" t="inlineStr">
        <is>
          <t>→ =2-3*2</t>
        </is>
      </c>
    </row>
    <row r="6">
      <c r="A6" s="32" t="inlineStr">
        <is>
          <t>r (signo de b)</t>
        </is>
      </c>
      <c r="B6" s="57">
        <f>-SQRT(0.81)</f>
        <v/>
      </c>
      <c r="C6" s="58" t="inlineStr">
        <is>
          <t>→ =-RAIZ(0,81)</t>
        </is>
      </c>
    </row>
    <row r="7">
      <c r="A7" s="32" t="inlineStr">
        <is>
          <t>Sx = r·Sy/b</t>
        </is>
      </c>
      <c r="B7" s="57">
        <f>B6*10/(-3)</f>
        <v/>
      </c>
      <c r="C7" s="58" t="inlineStr">
        <is>
          <t>→ =B6*10/(-3)</t>
        </is>
      </c>
    </row>
    <row r="8">
      <c r="A8" s="32" t="inlineStr">
        <is>
          <t>Sxy = b·Sx²</t>
        </is>
      </c>
      <c r="B8" s="57">
        <f>-3*B7^2</f>
        <v/>
      </c>
      <c r="C8" s="58" t="inlineStr">
        <is>
          <t>→ =-3*B7^2</t>
        </is>
      </c>
    </row>
    <row r="9"/>
    <row r="10">
      <c r="A10" s="64" t="inlineStr">
        <is>
          <t>Ejercicio 7: r = 0,56; x̄ = 12; ȳ = 24; Sx² = 3,6; Sy² = 2,5</t>
        </is>
      </c>
    </row>
    <row r="11">
      <c r="A11" s="32" t="inlineStr">
        <is>
          <t>Sxy = r·Sx·Sy</t>
        </is>
      </c>
      <c r="B11" s="57">
        <f>0.56*SQRT(3.6)*SQRT(2.5)</f>
        <v/>
      </c>
      <c r="C11" s="58" t="inlineStr">
        <is>
          <t>→ =0,56*RAIZ(3,6)*RAIZ(2,5)</t>
        </is>
      </c>
    </row>
    <row r="12">
      <c r="A12" s="32" t="inlineStr">
        <is>
          <t>b (Y sobre X)</t>
        </is>
      </c>
      <c r="B12" s="57">
        <f>B11/3.6</f>
        <v/>
      </c>
      <c r="C12" s="58" t="inlineStr">
        <is>
          <t>→ =B11/3,6</t>
        </is>
      </c>
    </row>
    <row r="13">
      <c r="A13" s="32" t="inlineStr">
        <is>
          <t>a</t>
        </is>
      </c>
      <c r="B13" s="57">
        <f>24-B12*12</f>
        <v/>
      </c>
      <c r="C13" s="58" t="inlineStr">
        <is>
          <t>→ =24-B12*12</t>
        </is>
      </c>
    </row>
    <row r="14">
      <c r="A14" s="32" t="inlineStr">
        <is>
          <t>b' (X sobre Y)</t>
        </is>
      </c>
      <c r="B14" s="57">
        <f>B11/2.5</f>
        <v/>
      </c>
      <c r="C14" s="58" t="inlineStr">
        <is>
          <t>→ =B11/2,5</t>
        </is>
      </c>
    </row>
    <row r="15">
      <c r="A15" s="32" t="inlineStr">
        <is>
          <t>a'</t>
        </is>
      </c>
      <c r="B15" s="57">
        <f>12-B14*24</f>
        <v/>
      </c>
      <c r="C15" s="58" t="inlineStr">
        <is>
          <t>→ =12-B14*24</t>
        </is>
      </c>
    </row>
  </sheetData>
  <hyperlinks>
    <hyperlink ref="I1" location="'Inicio'!A1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70"/>
  <sheetViews>
    <sheetView tabSelected="0" zoomScale="11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54" t="inlineStr">
        <is>
          <t>Tema 3 · Ejercicio 9: rectas con la EPF</t>
        </is>
      </c>
      <c r="I1" s="20" t="inlineStr">
        <is>
          <t>← Volver al inicio</t>
        </is>
      </c>
    </row>
    <row r="2"/>
    <row r="3">
      <c r="A3" s="65" t="inlineStr">
        <is>
          <t>Provincia</t>
        </is>
      </c>
      <c r="B3" s="65" t="inlineStr">
        <is>
          <t>Alimentacion</t>
        </is>
      </c>
      <c r="C3" s="65" t="inlineStr">
        <is>
          <t>VestidoCalzado</t>
        </is>
      </c>
      <c r="D3" s="65" t="inlineStr">
        <is>
          <t>Vivienda</t>
        </is>
      </c>
      <c r="E3" s="65" t="inlineStr">
        <is>
          <t>Mobiliario</t>
        </is>
      </c>
      <c r="F3" s="65" t="inlineStr">
        <is>
          <t>Sanidad</t>
        </is>
      </c>
      <c r="G3" s="65" t="inlineStr">
        <is>
          <t>Transporte</t>
        </is>
      </c>
      <c r="H3" s="65" t="inlineStr">
        <is>
          <t>EducacionCultura</t>
        </is>
      </c>
      <c r="I3" s="65" t="inlineStr">
        <is>
          <t>TurismoOcio</t>
        </is>
      </c>
      <c r="J3" s="65" t="inlineStr">
        <is>
          <t>Otros</t>
        </is>
      </c>
    </row>
    <row r="4">
      <c r="A4" s="61" t="inlineStr">
        <is>
          <t>Almeria</t>
        </is>
      </c>
      <c r="B4" s="60" t="n">
        <v>9820.82</v>
      </c>
      <c r="C4" s="60" t="n">
        <v>4687.85</v>
      </c>
      <c r="D4" s="60" t="n">
        <v>8284.459999999999</v>
      </c>
      <c r="E4" s="60" t="n">
        <v>2650.81</v>
      </c>
      <c r="F4" s="60" t="n">
        <v>924.84</v>
      </c>
      <c r="G4" s="60" t="n">
        <v>4443.24</v>
      </c>
      <c r="H4" s="60" t="n">
        <v>2050.28</v>
      </c>
      <c r="I4" s="60" t="n">
        <v>4886.43</v>
      </c>
      <c r="J4" s="60" t="n">
        <v>1703.04</v>
      </c>
    </row>
    <row r="5">
      <c r="A5" s="61" t="inlineStr">
        <is>
          <t>Cadiz</t>
        </is>
      </c>
      <c r="B5" s="60" t="n">
        <v>10851.88</v>
      </c>
      <c r="C5" s="60" t="n">
        <v>3230.77</v>
      </c>
      <c r="D5" s="60" t="n">
        <v>6770.17</v>
      </c>
      <c r="E5" s="60" t="n">
        <v>1970.04</v>
      </c>
      <c r="F5" s="60" t="n">
        <v>962.4299999999999</v>
      </c>
      <c r="G5" s="60" t="n">
        <v>4536.1</v>
      </c>
      <c r="H5" s="60" t="n">
        <v>2027.64</v>
      </c>
      <c r="I5" s="60" t="n">
        <v>4970.06</v>
      </c>
      <c r="J5" s="60" t="n">
        <v>1325.24</v>
      </c>
    </row>
    <row r="6">
      <c r="A6" s="61" t="inlineStr">
        <is>
          <t>Cordoba</t>
        </is>
      </c>
      <c r="B6" s="60" t="n">
        <v>9373.58</v>
      </c>
      <c r="C6" s="60" t="n">
        <v>4214.26</v>
      </c>
      <c r="D6" s="60" t="n">
        <v>7729.36</v>
      </c>
      <c r="E6" s="60" t="n">
        <v>1799.06</v>
      </c>
      <c r="F6" s="60" t="n">
        <v>589.15</v>
      </c>
      <c r="G6" s="60" t="n">
        <v>3765.49</v>
      </c>
      <c r="H6" s="60" t="n">
        <v>1852.66</v>
      </c>
      <c r="I6" s="60" t="n">
        <v>3927.58</v>
      </c>
      <c r="J6" s="60" t="n">
        <v>1268.13</v>
      </c>
    </row>
    <row r="7">
      <c r="A7" s="61" t="inlineStr">
        <is>
          <t>Granada</t>
        </is>
      </c>
      <c r="B7" s="60" t="n">
        <v>8684.700000000001</v>
      </c>
      <c r="C7" s="60" t="n">
        <v>3789.32</v>
      </c>
      <c r="D7" s="60" t="n">
        <v>7272.32</v>
      </c>
      <c r="E7" s="60" t="n">
        <v>1896.71</v>
      </c>
      <c r="F7" s="60" t="n">
        <v>640.0599999999999</v>
      </c>
      <c r="G7" s="60" t="n">
        <v>3755.56</v>
      </c>
      <c r="H7" s="60" t="n">
        <v>1648.57</v>
      </c>
      <c r="I7" s="60" t="n">
        <v>4320.63</v>
      </c>
      <c r="J7" s="60" t="n">
        <v>1155.3</v>
      </c>
    </row>
    <row r="8">
      <c r="A8" s="61" t="inlineStr">
        <is>
          <t>Huelva</t>
        </is>
      </c>
      <c r="B8" s="60" t="n">
        <v>10301.07</v>
      </c>
      <c r="C8" s="60" t="n">
        <v>3898.8</v>
      </c>
      <c r="D8" s="60" t="n">
        <v>9054.040000000001</v>
      </c>
      <c r="E8" s="60" t="n">
        <v>1574.77</v>
      </c>
      <c r="F8" s="60" t="n">
        <v>982.99</v>
      </c>
      <c r="G8" s="60" t="n">
        <v>4018.82</v>
      </c>
      <c r="H8" s="60" t="n">
        <v>1955.48</v>
      </c>
      <c r="I8" s="60" t="n">
        <v>3790.24</v>
      </c>
      <c r="J8" s="60" t="n">
        <v>1318.05</v>
      </c>
    </row>
    <row r="9">
      <c r="A9" s="61" t="inlineStr">
        <is>
          <t>Jaen</t>
        </is>
      </c>
      <c r="B9" s="60" t="n">
        <v>8825.23</v>
      </c>
      <c r="C9" s="60" t="n">
        <v>2908.29</v>
      </c>
      <c r="D9" s="60" t="n">
        <v>5278.25</v>
      </c>
      <c r="E9" s="60" t="n">
        <v>1370.31</v>
      </c>
      <c r="F9" s="60" t="n">
        <v>589.61</v>
      </c>
      <c r="G9" s="60" t="n">
        <v>2173.61</v>
      </c>
      <c r="H9" s="60" t="n">
        <v>914.03</v>
      </c>
      <c r="I9" s="60" t="n">
        <v>3011.68</v>
      </c>
      <c r="J9" s="60" t="n">
        <v>909.34</v>
      </c>
    </row>
    <row r="10">
      <c r="A10" s="61" t="inlineStr">
        <is>
          <t>Malaga</t>
        </is>
      </c>
      <c r="B10" s="60" t="n">
        <v>9802.110000000001</v>
      </c>
      <c r="C10" s="60" t="n">
        <v>3194.73</v>
      </c>
      <c r="D10" s="60" t="n">
        <v>8064.29</v>
      </c>
      <c r="E10" s="60" t="n">
        <v>1920.03</v>
      </c>
      <c r="F10" s="60" t="n">
        <v>1007.82</v>
      </c>
      <c r="G10" s="60" t="n">
        <v>4077.32</v>
      </c>
      <c r="H10" s="60" t="n">
        <v>2036.27</v>
      </c>
      <c r="I10" s="60" t="n">
        <v>5134.98</v>
      </c>
      <c r="J10" s="60" t="n">
        <v>1491.01</v>
      </c>
    </row>
    <row r="11">
      <c r="A11" s="61" t="inlineStr">
        <is>
          <t>Sevilla</t>
        </is>
      </c>
      <c r="B11" s="60" t="n">
        <v>9862.280000000001</v>
      </c>
      <c r="C11" s="60" t="n">
        <v>3302.75</v>
      </c>
      <c r="D11" s="60" t="n">
        <v>8717.16</v>
      </c>
      <c r="E11" s="60" t="n">
        <v>2180.21</v>
      </c>
      <c r="F11" s="60" t="n">
        <v>715.6</v>
      </c>
      <c r="G11" s="60" t="n">
        <v>4728.28</v>
      </c>
      <c r="H11" s="60" t="n">
        <v>1876.54</v>
      </c>
      <c r="I11" s="60" t="n">
        <v>4895.26</v>
      </c>
      <c r="J11" s="60" t="n">
        <v>1340.96</v>
      </c>
    </row>
    <row r="12">
      <c r="A12" s="61" t="inlineStr">
        <is>
          <t>Huesca</t>
        </is>
      </c>
      <c r="B12" s="60" t="n">
        <v>9156.790000000001</v>
      </c>
      <c r="C12" s="60" t="n">
        <v>3955.73</v>
      </c>
      <c r="D12" s="60" t="n">
        <v>6551.48</v>
      </c>
      <c r="E12" s="60" t="n">
        <v>1713.22</v>
      </c>
      <c r="F12" s="60" t="n">
        <v>628.35</v>
      </c>
      <c r="G12" s="60" t="n">
        <v>5320.65</v>
      </c>
      <c r="H12" s="60" t="n">
        <v>1436.68</v>
      </c>
      <c r="I12" s="60" t="n">
        <v>3605.97</v>
      </c>
      <c r="J12" s="60" t="n">
        <v>1461.37</v>
      </c>
    </row>
    <row r="13">
      <c r="A13" s="61" t="inlineStr">
        <is>
          <t>Teruel</t>
        </is>
      </c>
      <c r="B13" s="60" t="n">
        <v>8651.139999999999</v>
      </c>
      <c r="C13" s="60" t="n">
        <v>3169.98</v>
      </c>
      <c r="D13" s="60" t="n">
        <v>5456.87</v>
      </c>
      <c r="E13" s="60" t="n">
        <v>1938.18</v>
      </c>
      <c r="F13" s="60" t="n">
        <v>670.86</v>
      </c>
      <c r="G13" s="60" t="n">
        <v>3558.68</v>
      </c>
      <c r="H13" s="60" t="n">
        <v>1432.62</v>
      </c>
      <c r="I13" s="60" t="n">
        <v>3772.26</v>
      </c>
      <c r="J13" s="60" t="n">
        <v>1236.62</v>
      </c>
    </row>
    <row r="14">
      <c r="A14" s="61" t="inlineStr">
        <is>
          <t>Zaragoza</t>
        </is>
      </c>
      <c r="B14" s="60" t="n">
        <v>8833.59</v>
      </c>
      <c r="C14" s="60" t="n">
        <v>4227.97</v>
      </c>
      <c r="D14" s="60" t="n">
        <v>7885.59</v>
      </c>
      <c r="E14" s="60" t="n">
        <v>2102.61</v>
      </c>
      <c r="F14" s="60" t="n">
        <v>858.48</v>
      </c>
      <c r="G14" s="60" t="n">
        <v>3731.66</v>
      </c>
      <c r="H14" s="60" t="n">
        <v>1887.04</v>
      </c>
      <c r="I14" s="60" t="n">
        <v>4480.27</v>
      </c>
      <c r="J14" s="60" t="n">
        <v>1264.86</v>
      </c>
    </row>
    <row r="15">
      <c r="A15" s="61" t="inlineStr">
        <is>
          <t>Asturias</t>
        </is>
      </c>
      <c r="B15" s="60" t="n">
        <v>9915.76</v>
      </c>
      <c r="C15" s="60" t="n">
        <v>4447.01</v>
      </c>
      <c r="D15" s="60" t="n">
        <v>8422.5</v>
      </c>
      <c r="E15" s="60" t="n">
        <v>2095.45</v>
      </c>
      <c r="F15" s="60" t="n">
        <v>915.1799999999999</v>
      </c>
      <c r="G15" s="60" t="n">
        <v>5394.89</v>
      </c>
      <c r="H15" s="60" t="n">
        <v>2368.35</v>
      </c>
      <c r="I15" s="60" t="n">
        <v>5005.6</v>
      </c>
      <c r="J15" s="60" t="n">
        <v>1917.59</v>
      </c>
    </row>
    <row r="16">
      <c r="A16" s="61" t="inlineStr">
        <is>
          <t>Baleares</t>
        </is>
      </c>
      <c r="B16" s="60" t="n">
        <v>8952.32</v>
      </c>
      <c r="C16" s="60" t="n">
        <v>3598.83</v>
      </c>
      <c r="D16" s="60" t="n">
        <v>9558.059999999999</v>
      </c>
      <c r="E16" s="60" t="n">
        <v>2284.89</v>
      </c>
      <c r="F16" s="60" t="n">
        <v>1377.28</v>
      </c>
      <c r="G16" s="60" t="n">
        <v>5684.89</v>
      </c>
      <c r="H16" s="60" t="n">
        <v>2388.75</v>
      </c>
      <c r="I16" s="60" t="n">
        <v>5578.02</v>
      </c>
      <c r="J16" s="60" t="n">
        <v>2091.27</v>
      </c>
    </row>
    <row r="17">
      <c r="A17" s="61" t="inlineStr">
        <is>
          <t>LasPalmas</t>
        </is>
      </c>
      <c r="B17" s="60" t="n">
        <v>10037.92</v>
      </c>
      <c r="C17" s="60" t="n">
        <v>3200.38</v>
      </c>
      <c r="D17" s="60" t="n">
        <v>8295.85</v>
      </c>
      <c r="E17" s="60" t="n">
        <v>2439.9</v>
      </c>
      <c r="F17" s="60" t="n">
        <v>1335.15</v>
      </c>
      <c r="G17" s="60" t="n">
        <v>5204.09</v>
      </c>
      <c r="H17" s="60" t="n">
        <v>2745.43</v>
      </c>
      <c r="I17" s="60" t="n">
        <v>4849.31</v>
      </c>
      <c r="J17" s="60" t="n">
        <v>1818.75</v>
      </c>
    </row>
    <row r="18">
      <c r="A18" s="61" t="inlineStr">
        <is>
          <t>Tenerife</t>
        </is>
      </c>
      <c r="B18" s="60" t="n">
        <v>8305.85</v>
      </c>
      <c r="C18" s="60" t="n">
        <v>2714.35</v>
      </c>
      <c r="D18" s="60" t="n">
        <v>7416.49</v>
      </c>
      <c r="E18" s="60" t="n">
        <v>1885.87</v>
      </c>
      <c r="F18" s="60" t="n">
        <v>1035.26</v>
      </c>
      <c r="G18" s="60" t="n">
        <v>4817.1</v>
      </c>
      <c r="H18" s="60" t="n">
        <v>2262.91</v>
      </c>
      <c r="I18" s="60" t="n">
        <v>4499.21</v>
      </c>
      <c r="J18" s="60" t="n">
        <v>1284.55</v>
      </c>
    </row>
    <row r="19">
      <c r="A19" s="61" t="inlineStr">
        <is>
          <t>Cantabria</t>
        </is>
      </c>
      <c r="B19" s="60" t="n">
        <v>9584.82</v>
      </c>
      <c r="C19" s="60" t="n">
        <v>4568.71</v>
      </c>
      <c r="D19" s="60" t="n">
        <v>10391.57</v>
      </c>
      <c r="E19" s="60" t="n">
        <v>1892.41</v>
      </c>
      <c r="F19" s="60" t="n">
        <v>1004.68</v>
      </c>
      <c r="G19" s="60" t="n">
        <v>4796.14</v>
      </c>
      <c r="H19" s="60" t="n">
        <v>1852.47</v>
      </c>
      <c r="I19" s="60" t="n">
        <v>4389.73</v>
      </c>
      <c r="J19" s="60" t="n">
        <v>1672.69</v>
      </c>
    </row>
    <row r="20">
      <c r="A20" s="61" t="inlineStr">
        <is>
          <t>Avila</t>
        </is>
      </c>
      <c r="B20" s="60" t="n">
        <v>8625.07</v>
      </c>
      <c r="C20" s="60" t="n">
        <v>3849.41</v>
      </c>
      <c r="D20" s="60" t="n">
        <v>6157.29</v>
      </c>
      <c r="E20" s="60" t="n">
        <v>1472.56</v>
      </c>
      <c r="F20" s="60" t="n">
        <v>746.29</v>
      </c>
      <c r="G20" s="60" t="n">
        <v>4039.08</v>
      </c>
      <c r="H20" s="60" t="n">
        <v>1182.42</v>
      </c>
      <c r="I20" s="60" t="n">
        <v>3980.21</v>
      </c>
      <c r="J20" s="60" t="n">
        <v>1302.04</v>
      </c>
    </row>
    <row r="21">
      <c r="A21" s="61" t="inlineStr">
        <is>
          <t>Burgos</t>
        </is>
      </c>
      <c r="B21" s="60" t="n">
        <v>9556.639999999999</v>
      </c>
      <c r="C21" s="60" t="n">
        <v>4055.01</v>
      </c>
      <c r="D21" s="60" t="n">
        <v>9521.950000000001</v>
      </c>
      <c r="E21" s="60" t="n">
        <v>2573.04</v>
      </c>
      <c r="F21" s="60" t="n">
        <v>814.09</v>
      </c>
      <c r="G21" s="60" t="n">
        <v>4443.05</v>
      </c>
      <c r="H21" s="60" t="n">
        <v>2096.96</v>
      </c>
      <c r="I21" s="60" t="n">
        <v>4788.78</v>
      </c>
      <c r="J21" s="60" t="n">
        <v>1764.76</v>
      </c>
    </row>
    <row r="22">
      <c r="A22" s="61" t="inlineStr">
        <is>
          <t>Leon</t>
        </is>
      </c>
      <c r="B22" s="60" t="n">
        <v>9885.709999999999</v>
      </c>
      <c r="C22" s="60" t="n">
        <v>3891.15</v>
      </c>
      <c r="D22" s="60" t="n">
        <v>7939.93</v>
      </c>
      <c r="E22" s="60" t="n">
        <v>2158.35</v>
      </c>
      <c r="F22" s="60" t="n">
        <v>661.12</v>
      </c>
      <c r="G22" s="60" t="n">
        <v>5284.66</v>
      </c>
      <c r="H22" s="60" t="n">
        <v>1898.56</v>
      </c>
      <c r="I22" s="60" t="n">
        <v>4244.44</v>
      </c>
      <c r="J22" s="60" t="n">
        <v>2323.43</v>
      </c>
    </row>
    <row r="23">
      <c r="A23" s="61" t="inlineStr">
        <is>
          <t>Palencia</t>
        </is>
      </c>
      <c r="B23" s="60" t="n">
        <v>9356.76</v>
      </c>
      <c r="C23" s="60" t="n">
        <v>3269.31</v>
      </c>
      <c r="D23" s="60" t="n">
        <v>7125.95</v>
      </c>
      <c r="E23" s="60" t="n">
        <v>1804.27</v>
      </c>
      <c r="F23" s="60" t="n">
        <v>551.96</v>
      </c>
      <c r="G23" s="60" t="n">
        <v>3944.78</v>
      </c>
      <c r="H23" s="60" t="n">
        <v>1837.76</v>
      </c>
      <c r="I23" s="60" t="n">
        <v>4665.89</v>
      </c>
      <c r="J23" s="60" t="n">
        <v>1733.66</v>
      </c>
    </row>
    <row r="24">
      <c r="A24" s="61" t="inlineStr">
        <is>
          <t>Salamanca</t>
        </is>
      </c>
      <c r="B24" s="60" t="n">
        <v>7755.4</v>
      </c>
      <c r="C24" s="60" t="n">
        <v>2662.66</v>
      </c>
      <c r="D24" s="60" t="n">
        <v>6347.47</v>
      </c>
      <c r="E24" s="60" t="n">
        <v>1241.05</v>
      </c>
      <c r="F24" s="60" t="n">
        <v>388.35</v>
      </c>
      <c r="G24" s="60" t="n">
        <v>3095.04</v>
      </c>
      <c r="H24" s="60" t="n">
        <v>1108.23</v>
      </c>
      <c r="I24" s="60" t="n">
        <v>3063.17</v>
      </c>
      <c r="J24" s="60" t="n">
        <v>863.8200000000001</v>
      </c>
    </row>
    <row r="25">
      <c r="A25" s="61" t="inlineStr">
        <is>
          <t>Segovia</t>
        </is>
      </c>
      <c r="B25" s="60" t="n">
        <v>8378.26</v>
      </c>
      <c r="C25" s="60" t="n">
        <v>2932.8</v>
      </c>
      <c r="D25" s="60" t="n">
        <v>7225.2</v>
      </c>
      <c r="E25" s="60" t="n">
        <v>1641.35</v>
      </c>
      <c r="F25" s="60" t="n">
        <v>735.22</v>
      </c>
      <c r="G25" s="60" t="n">
        <v>3445.55</v>
      </c>
      <c r="H25" s="60" t="n">
        <v>1450.79</v>
      </c>
      <c r="I25" s="60" t="n">
        <v>4120.67</v>
      </c>
      <c r="J25" s="60" t="n">
        <v>1845.35</v>
      </c>
    </row>
    <row r="26">
      <c r="A26" s="61" t="inlineStr">
        <is>
          <t>Soria</t>
        </is>
      </c>
      <c r="B26" s="60" t="n">
        <v>10784.96</v>
      </c>
      <c r="C26" s="60" t="n">
        <v>3691.76</v>
      </c>
      <c r="D26" s="60" t="n">
        <v>7991.99</v>
      </c>
      <c r="E26" s="60" t="n">
        <v>2058.99</v>
      </c>
      <c r="F26" s="60" t="n">
        <v>872.67</v>
      </c>
      <c r="G26" s="60" t="n">
        <v>4319.7</v>
      </c>
      <c r="H26" s="60" t="n">
        <v>1865.72</v>
      </c>
      <c r="I26" s="60" t="n">
        <v>4760.24</v>
      </c>
      <c r="J26" s="60" t="n">
        <v>1916.75</v>
      </c>
    </row>
    <row r="27">
      <c r="A27" s="61" t="inlineStr">
        <is>
          <t>Valladolid</t>
        </is>
      </c>
      <c r="B27" s="60" t="n">
        <v>9002.16</v>
      </c>
      <c r="C27" s="60" t="n">
        <v>3541.47</v>
      </c>
      <c r="D27" s="60" t="n">
        <v>8987.43</v>
      </c>
      <c r="E27" s="60" t="n">
        <v>2230.43</v>
      </c>
      <c r="F27" s="60" t="n">
        <v>731.63</v>
      </c>
      <c r="G27" s="60" t="n">
        <v>4033.57</v>
      </c>
      <c r="H27" s="60" t="n">
        <v>2364.79</v>
      </c>
      <c r="I27" s="60" t="n">
        <v>5200.7</v>
      </c>
      <c r="J27" s="60" t="n">
        <v>1561.76</v>
      </c>
    </row>
    <row r="28">
      <c r="A28" s="61" t="inlineStr">
        <is>
          <t>Zamora</t>
        </is>
      </c>
      <c r="B28" s="60" t="n">
        <v>8639.860000000001</v>
      </c>
      <c r="C28" s="60" t="n">
        <v>2837.52</v>
      </c>
      <c r="D28" s="60" t="n">
        <v>6384.04</v>
      </c>
      <c r="E28" s="60" t="n">
        <v>1585.93</v>
      </c>
      <c r="F28" s="60" t="n">
        <v>510</v>
      </c>
      <c r="G28" s="60" t="n">
        <v>3604.33</v>
      </c>
      <c r="H28" s="60" t="n">
        <v>1115.16</v>
      </c>
      <c r="I28" s="60" t="n">
        <v>3674.37</v>
      </c>
      <c r="J28" s="60" t="n">
        <v>1988.61</v>
      </c>
    </row>
    <row r="29">
      <c r="A29" s="61" t="inlineStr">
        <is>
          <t>Albacete</t>
        </is>
      </c>
      <c r="B29" s="60" t="n">
        <v>8503.59</v>
      </c>
      <c r="C29" s="60" t="n">
        <v>3166.35</v>
      </c>
      <c r="D29" s="60" t="n">
        <v>6752.84</v>
      </c>
      <c r="E29" s="60" t="n">
        <v>2186.42</v>
      </c>
      <c r="F29" s="60" t="n">
        <v>888.01</v>
      </c>
      <c r="G29" s="60" t="n">
        <v>3684.4</v>
      </c>
      <c r="H29" s="60" t="n">
        <v>1663.88</v>
      </c>
      <c r="I29" s="60" t="n">
        <v>4628.45</v>
      </c>
      <c r="J29" s="60" t="n">
        <v>1455.53</v>
      </c>
    </row>
    <row r="30">
      <c r="A30" s="61" t="inlineStr">
        <is>
          <t>CiudadReal</t>
        </is>
      </c>
      <c r="B30" s="60" t="n">
        <v>8661.83</v>
      </c>
      <c r="C30" s="60" t="n">
        <v>3605.79</v>
      </c>
      <c r="D30" s="60" t="n">
        <v>7737.42</v>
      </c>
      <c r="E30" s="60" t="n">
        <v>1995.08</v>
      </c>
      <c r="F30" s="60" t="n">
        <v>698.15</v>
      </c>
      <c r="G30" s="60" t="n">
        <v>3662.36</v>
      </c>
      <c r="H30" s="60" t="n">
        <v>1406.58</v>
      </c>
      <c r="I30" s="60" t="n">
        <v>3652.73</v>
      </c>
      <c r="J30" s="60" t="n">
        <v>1442.06</v>
      </c>
    </row>
    <row r="31">
      <c r="A31" s="61" t="inlineStr">
        <is>
          <t>Cuenca</t>
        </is>
      </c>
      <c r="B31" s="60" t="n">
        <v>8041.48</v>
      </c>
      <c r="C31" s="60" t="n">
        <v>3080.62</v>
      </c>
      <c r="D31" s="60" t="n">
        <v>6671.77</v>
      </c>
      <c r="E31" s="60" t="n">
        <v>1737.93</v>
      </c>
      <c r="F31" s="60" t="n">
        <v>808.58</v>
      </c>
      <c r="G31" s="60" t="n">
        <v>3501.44</v>
      </c>
      <c r="H31" s="60" t="n">
        <v>1248.28</v>
      </c>
      <c r="I31" s="60" t="n">
        <v>4284.62</v>
      </c>
      <c r="J31" s="60" t="n">
        <v>1638.84</v>
      </c>
    </row>
    <row r="32">
      <c r="A32" s="61" t="inlineStr">
        <is>
          <t>Guadalajara</t>
        </is>
      </c>
      <c r="B32" s="60" t="n">
        <v>8677.65</v>
      </c>
      <c r="C32" s="60" t="n">
        <v>2853.22</v>
      </c>
      <c r="D32" s="60" t="n">
        <v>7575.5</v>
      </c>
      <c r="E32" s="60" t="n">
        <v>1833.95</v>
      </c>
      <c r="F32" s="60" t="n">
        <v>636.72</v>
      </c>
      <c r="G32" s="60" t="n">
        <v>4746.91</v>
      </c>
      <c r="H32" s="60" t="n">
        <v>1506.12</v>
      </c>
      <c r="I32" s="60" t="n">
        <v>4564.9</v>
      </c>
      <c r="J32" s="60" t="n">
        <v>1391.83</v>
      </c>
    </row>
    <row r="33">
      <c r="A33" s="61" t="inlineStr">
        <is>
          <t>Toledo</t>
        </is>
      </c>
      <c r="B33" s="60" t="n">
        <v>9255.450000000001</v>
      </c>
      <c r="C33" s="60" t="n">
        <v>4054.38</v>
      </c>
      <c r="D33" s="60" t="n">
        <v>6535.44</v>
      </c>
      <c r="E33" s="60" t="n">
        <v>2074.53</v>
      </c>
      <c r="F33" s="60" t="n">
        <v>1036.81</v>
      </c>
      <c r="G33" s="60" t="n">
        <v>4476.43</v>
      </c>
      <c r="H33" s="60" t="n">
        <v>1679.84</v>
      </c>
      <c r="I33" s="60" t="n">
        <v>3835.76</v>
      </c>
      <c r="J33" s="60" t="n">
        <v>1938.74</v>
      </c>
    </row>
    <row r="34">
      <c r="A34" s="61" t="inlineStr">
        <is>
          <t>Barcelona</t>
        </is>
      </c>
      <c r="B34" s="60" t="n">
        <v>11153.03</v>
      </c>
      <c r="C34" s="60" t="n">
        <v>4084.55</v>
      </c>
      <c r="D34" s="60" t="n">
        <v>11143.44</v>
      </c>
      <c r="E34" s="60" t="n">
        <v>2676.65</v>
      </c>
      <c r="F34" s="60" t="n">
        <v>1548.51</v>
      </c>
      <c r="G34" s="60" t="n">
        <v>5795.4</v>
      </c>
      <c r="H34" s="60" t="n">
        <v>3795.11</v>
      </c>
      <c r="I34" s="60" t="n">
        <v>6018.55</v>
      </c>
      <c r="J34" s="60" t="n">
        <v>1585.55</v>
      </c>
    </row>
    <row r="35">
      <c r="A35" s="61" t="inlineStr">
        <is>
          <t>Gerona</t>
        </is>
      </c>
      <c r="B35" s="60" t="n">
        <v>10855.79</v>
      </c>
      <c r="C35" s="60" t="n">
        <v>4522.76</v>
      </c>
      <c r="D35" s="60" t="n">
        <v>8982.93</v>
      </c>
      <c r="E35" s="60" t="n">
        <v>2369.03</v>
      </c>
      <c r="F35" s="60" t="n">
        <v>1230.51</v>
      </c>
      <c r="G35" s="60" t="n">
        <v>4122.79</v>
      </c>
      <c r="H35" s="60" t="n">
        <v>3036.89</v>
      </c>
      <c r="I35" s="60" t="n">
        <v>5221.56</v>
      </c>
      <c r="J35" s="60" t="n">
        <v>2138.61</v>
      </c>
    </row>
    <row r="36">
      <c r="A36" s="61" t="inlineStr">
        <is>
          <t>Lerida</t>
        </is>
      </c>
      <c r="B36" s="60" t="n">
        <v>11051.84</v>
      </c>
      <c r="C36" s="60" t="n">
        <v>4492.41</v>
      </c>
      <c r="D36" s="60" t="n">
        <v>8074.67</v>
      </c>
      <c r="E36" s="60" t="n">
        <v>2328.81</v>
      </c>
      <c r="F36" s="60" t="n">
        <v>1441.14</v>
      </c>
      <c r="G36" s="60" t="n">
        <v>6379.58</v>
      </c>
      <c r="H36" s="60" t="n">
        <v>2866.35</v>
      </c>
      <c r="I36" s="60" t="n">
        <v>5602.92</v>
      </c>
      <c r="J36" s="60" t="n">
        <v>2426.4</v>
      </c>
    </row>
    <row r="37">
      <c r="A37" s="61" t="inlineStr">
        <is>
          <t>Tarragona</t>
        </is>
      </c>
      <c r="B37" s="60" t="n">
        <v>9299.83</v>
      </c>
      <c r="C37" s="60" t="n">
        <v>4492.06</v>
      </c>
      <c r="D37" s="60" t="n">
        <v>8848.120000000001</v>
      </c>
      <c r="E37" s="60" t="n">
        <v>2387.37</v>
      </c>
      <c r="F37" s="60" t="n">
        <v>997.27</v>
      </c>
      <c r="G37" s="60" t="n">
        <v>5265.34</v>
      </c>
      <c r="H37" s="60" t="n">
        <v>2946.66</v>
      </c>
      <c r="I37" s="60" t="n">
        <v>6052.92</v>
      </c>
      <c r="J37" s="60" t="n">
        <v>1822.71</v>
      </c>
    </row>
    <row r="38">
      <c r="A38" s="61" t="inlineStr">
        <is>
          <t>Alicante</t>
        </is>
      </c>
      <c r="B38" s="60" t="n">
        <v>9192.459999999999</v>
      </c>
      <c r="C38" s="60" t="n">
        <v>3263.55</v>
      </c>
      <c r="D38" s="60" t="n">
        <v>7778.42</v>
      </c>
      <c r="E38" s="60" t="n">
        <v>2130.17</v>
      </c>
      <c r="F38" s="60" t="n">
        <v>1081.17</v>
      </c>
      <c r="G38" s="60" t="n">
        <v>4727.31</v>
      </c>
      <c r="H38" s="60" t="n">
        <v>1867.67</v>
      </c>
      <c r="I38" s="60" t="n">
        <v>5024.59</v>
      </c>
      <c r="J38" s="60" t="n">
        <v>1773.2</v>
      </c>
    </row>
    <row r="39">
      <c r="A39" s="61" t="inlineStr">
        <is>
          <t>Castellon</t>
        </is>
      </c>
      <c r="B39" s="60" t="n">
        <v>7878.76</v>
      </c>
      <c r="C39" s="60" t="n">
        <v>3198.83</v>
      </c>
      <c r="D39" s="60" t="n">
        <v>6536.64</v>
      </c>
      <c r="E39" s="60" t="n">
        <v>1709.46</v>
      </c>
      <c r="F39" s="60" t="n">
        <v>681.3</v>
      </c>
      <c r="G39" s="60" t="n">
        <v>3364.55</v>
      </c>
      <c r="H39" s="60" t="n">
        <v>1342.48</v>
      </c>
      <c r="I39" s="60" t="n">
        <v>3836.49</v>
      </c>
      <c r="J39" s="60" t="n">
        <v>1227.61</v>
      </c>
    </row>
    <row r="40">
      <c r="A40" s="61" t="inlineStr">
        <is>
          <t>Valencia</t>
        </is>
      </c>
      <c r="B40" s="60" t="n">
        <v>8561.209999999999</v>
      </c>
      <c r="C40" s="60" t="n">
        <v>3618.75</v>
      </c>
      <c r="D40" s="60" t="n">
        <v>7364.17</v>
      </c>
      <c r="E40" s="60" t="n">
        <v>2196.26</v>
      </c>
      <c r="F40" s="60" t="n">
        <v>991.21</v>
      </c>
      <c r="G40" s="60" t="n">
        <v>4537.06</v>
      </c>
      <c r="H40" s="60" t="n">
        <v>2138.06</v>
      </c>
      <c r="I40" s="60" t="n">
        <v>6107.72</v>
      </c>
      <c r="J40" s="60" t="n">
        <v>1532.15</v>
      </c>
    </row>
    <row r="41">
      <c r="A41" s="61" t="inlineStr">
        <is>
          <t>Badajoz</t>
        </is>
      </c>
      <c r="B41" s="60" t="n">
        <v>6829.7</v>
      </c>
      <c r="C41" s="60" t="n">
        <v>3245.2</v>
      </c>
      <c r="D41" s="60" t="n">
        <v>5282.79</v>
      </c>
      <c r="E41" s="60" t="n">
        <v>1457.06</v>
      </c>
      <c r="F41" s="60" t="n">
        <v>652.3099999999999</v>
      </c>
      <c r="G41" s="60" t="n">
        <v>2975.01</v>
      </c>
      <c r="H41" s="60" t="n">
        <v>1229.37</v>
      </c>
      <c r="I41" s="60" t="n">
        <v>3233.76</v>
      </c>
      <c r="J41" s="60" t="n">
        <v>975.45</v>
      </c>
    </row>
    <row r="42">
      <c r="A42" s="61" t="inlineStr">
        <is>
          <t>Caceres</t>
        </is>
      </c>
      <c r="B42" s="60" t="n">
        <v>9040.98</v>
      </c>
      <c r="C42" s="60" t="n">
        <v>3534.41</v>
      </c>
      <c r="D42" s="60" t="n">
        <v>6402.97</v>
      </c>
      <c r="E42" s="60" t="n">
        <v>1889.38</v>
      </c>
      <c r="F42" s="60" t="n">
        <v>760.08</v>
      </c>
      <c r="G42" s="60" t="n">
        <v>3944.01</v>
      </c>
      <c r="H42" s="60" t="n">
        <v>1591.15</v>
      </c>
      <c r="I42" s="60" t="n">
        <v>4535.98</v>
      </c>
      <c r="J42" s="60" t="n">
        <v>1423.82</v>
      </c>
    </row>
    <row r="43">
      <c r="A43" s="61" t="inlineStr">
        <is>
          <t>LaCoruna</t>
        </is>
      </c>
      <c r="B43" s="60" t="n">
        <v>10986.83</v>
      </c>
      <c r="C43" s="60" t="n">
        <v>3952.73</v>
      </c>
      <c r="D43" s="60" t="n">
        <v>8038.33</v>
      </c>
      <c r="E43" s="60" t="n">
        <v>2249.98</v>
      </c>
      <c r="F43" s="60" t="n">
        <v>890.35</v>
      </c>
      <c r="G43" s="60" t="n">
        <v>4401.44</v>
      </c>
      <c r="H43" s="60" t="n">
        <v>2256.98</v>
      </c>
      <c r="I43" s="60" t="n">
        <v>4587.24</v>
      </c>
      <c r="J43" s="60" t="n">
        <v>1721.36</v>
      </c>
    </row>
    <row r="44">
      <c r="A44" s="61" t="inlineStr">
        <is>
          <t>Lugo</t>
        </is>
      </c>
      <c r="B44" s="60" t="n">
        <v>11409.41</v>
      </c>
      <c r="C44" s="60" t="n">
        <v>4542.28</v>
      </c>
      <c r="D44" s="60" t="n">
        <v>6582.99</v>
      </c>
      <c r="E44" s="60" t="n">
        <v>2263.05</v>
      </c>
      <c r="F44" s="60" t="n">
        <v>996.1</v>
      </c>
      <c r="G44" s="60" t="n">
        <v>4789.64</v>
      </c>
      <c r="H44" s="60" t="n">
        <v>1616.64</v>
      </c>
      <c r="I44" s="60" t="n">
        <v>3438.21</v>
      </c>
      <c r="J44" s="60" t="n">
        <v>1894.45</v>
      </c>
    </row>
    <row r="45">
      <c r="A45" s="61" t="inlineStr">
        <is>
          <t>Orense</t>
        </is>
      </c>
      <c r="B45" s="60" t="n">
        <v>9498.91</v>
      </c>
      <c r="C45" s="60" t="n">
        <v>2893.74</v>
      </c>
      <c r="D45" s="60" t="n">
        <v>5884.43</v>
      </c>
      <c r="E45" s="60" t="n">
        <v>1695.72</v>
      </c>
      <c r="F45" s="60" t="n">
        <v>504.23</v>
      </c>
      <c r="G45" s="60" t="n">
        <v>3506.99</v>
      </c>
      <c r="H45" s="60" t="n">
        <v>1820.36</v>
      </c>
      <c r="I45" s="60" t="n">
        <v>3267.29</v>
      </c>
      <c r="J45" s="60" t="n">
        <v>1430.92</v>
      </c>
    </row>
    <row r="46">
      <c r="A46" s="61" t="inlineStr">
        <is>
          <t>Pontevedra</t>
        </is>
      </c>
      <c r="B46" s="60" t="n">
        <v>11684.9</v>
      </c>
      <c r="C46" s="60" t="n">
        <v>4180.55</v>
      </c>
      <c r="D46" s="60" t="n">
        <v>7441.24</v>
      </c>
      <c r="E46" s="60" t="n">
        <v>2161.11</v>
      </c>
      <c r="F46" s="60" t="n">
        <v>806.27</v>
      </c>
      <c r="G46" s="60" t="n">
        <v>5462.74</v>
      </c>
      <c r="H46" s="60" t="n">
        <v>2057.68</v>
      </c>
      <c r="I46" s="60" t="n">
        <v>4908.35</v>
      </c>
      <c r="J46" s="60" t="n">
        <v>1590.72</v>
      </c>
    </row>
    <row r="47">
      <c r="A47" s="61" t="inlineStr">
        <is>
          <t>Madrid</t>
        </is>
      </c>
      <c r="B47" s="60" t="n">
        <v>10639.86</v>
      </c>
      <c r="C47" s="60" t="n">
        <v>4029</v>
      </c>
      <c r="D47" s="60" t="n">
        <v>13717.62</v>
      </c>
      <c r="E47" s="60" t="n">
        <v>2348.5</v>
      </c>
      <c r="F47" s="60" t="n">
        <v>1374.07</v>
      </c>
      <c r="G47" s="60" t="n">
        <v>6246.16</v>
      </c>
      <c r="H47" s="60" t="n">
        <v>3687.22</v>
      </c>
      <c r="I47" s="60" t="n">
        <v>6985.72</v>
      </c>
      <c r="J47" s="60" t="n">
        <v>2067.27</v>
      </c>
    </row>
    <row r="48">
      <c r="A48" s="61" t="inlineStr">
        <is>
          <t>Murcia</t>
        </is>
      </c>
      <c r="B48" s="60" t="n">
        <v>9690.09</v>
      </c>
      <c r="C48" s="60" t="n">
        <v>3334.69</v>
      </c>
      <c r="D48" s="60" t="n">
        <v>7470.99</v>
      </c>
      <c r="E48" s="60" t="n">
        <v>2040.89</v>
      </c>
      <c r="F48" s="60" t="n">
        <v>743.61</v>
      </c>
      <c r="G48" s="60" t="n">
        <v>5053.68</v>
      </c>
      <c r="H48" s="60" t="n">
        <v>1633.92</v>
      </c>
      <c r="I48" s="60" t="n">
        <v>4938.71</v>
      </c>
      <c r="J48" s="60" t="n">
        <v>1816.06</v>
      </c>
    </row>
    <row r="49">
      <c r="A49" s="61" t="inlineStr">
        <is>
          <t>Navarra</t>
        </is>
      </c>
      <c r="B49" s="60" t="n">
        <v>10616.14</v>
      </c>
      <c r="C49" s="60" t="n">
        <v>5154.73</v>
      </c>
      <c r="D49" s="60" t="n">
        <v>11179.25</v>
      </c>
      <c r="E49" s="60" t="n">
        <v>3521.68</v>
      </c>
      <c r="F49" s="60" t="n">
        <v>1288.06</v>
      </c>
      <c r="G49" s="60" t="n">
        <v>6589.65</v>
      </c>
      <c r="H49" s="60" t="n">
        <v>2943.17</v>
      </c>
      <c r="I49" s="60" t="n">
        <v>6521.65</v>
      </c>
      <c r="J49" s="60" t="n">
        <v>2483.03</v>
      </c>
    </row>
    <row r="50">
      <c r="A50" s="61" t="inlineStr">
        <is>
          <t>Alava</t>
        </is>
      </c>
      <c r="B50" s="60" t="n">
        <v>10542.64</v>
      </c>
      <c r="C50" s="60" t="n">
        <v>3714.91</v>
      </c>
      <c r="D50" s="60" t="n">
        <v>10014.07</v>
      </c>
      <c r="E50" s="60" t="n">
        <v>3001.49</v>
      </c>
      <c r="F50" s="60" t="n">
        <v>926.71</v>
      </c>
      <c r="G50" s="60" t="n">
        <v>4966.81</v>
      </c>
      <c r="H50" s="60" t="n">
        <v>2613.72</v>
      </c>
      <c r="I50" s="60" t="n">
        <v>5637.13</v>
      </c>
      <c r="J50" s="60" t="n">
        <v>1569.88</v>
      </c>
    </row>
    <row r="51">
      <c r="A51" s="61" t="inlineStr">
        <is>
          <t>Guipuzcua</t>
        </is>
      </c>
      <c r="B51" s="60" t="n">
        <v>10204.54</v>
      </c>
      <c r="C51" s="60" t="n">
        <v>4040.51</v>
      </c>
      <c r="D51" s="60" t="n">
        <v>10605.87</v>
      </c>
      <c r="E51" s="60" t="n">
        <v>2403.08</v>
      </c>
      <c r="F51" s="60" t="n">
        <v>983.5</v>
      </c>
      <c r="G51" s="60" t="n">
        <v>4799.54</v>
      </c>
      <c r="H51" s="60" t="n">
        <v>2689.84</v>
      </c>
      <c r="I51" s="60" t="n">
        <v>6430.13</v>
      </c>
      <c r="J51" s="60" t="n">
        <v>1745.26</v>
      </c>
    </row>
    <row r="52">
      <c r="A52" s="61" t="inlineStr">
        <is>
          <t>Vizcaya</t>
        </is>
      </c>
      <c r="B52" s="60" t="n">
        <v>10090.11</v>
      </c>
      <c r="C52" s="60" t="n">
        <v>4492.82</v>
      </c>
      <c r="D52" s="60" t="n">
        <v>10754.73</v>
      </c>
      <c r="E52" s="60" t="n">
        <v>2484.92</v>
      </c>
      <c r="F52" s="60" t="n">
        <v>1077.33</v>
      </c>
      <c r="G52" s="60" t="n">
        <v>5351.1</v>
      </c>
      <c r="H52" s="60" t="n">
        <v>2796.07</v>
      </c>
      <c r="I52" s="60" t="n">
        <v>6713.56</v>
      </c>
      <c r="J52" s="60" t="n">
        <v>2103.48</v>
      </c>
    </row>
    <row r="53">
      <c r="A53" s="61" t="inlineStr">
        <is>
          <t>LaRioja</t>
        </is>
      </c>
      <c r="B53" s="60" t="n">
        <v>10072.81</v>
      </c>
      <c r="C53" s="60" t="n">
        <v>3328.09</v>
      </c>
      <c r="D53" s="60" t="n">
        <v>8610.17</v>
      </c>
      <c r="E53" s="60" t="n">
        <v>2024.83</v>
      </c>
      <c r="F53" s="60" t="n">
        <v>867.66</v>
      </c>
      <c r="G53" s="60" t="n">
        <v>4281.52</v>
      </c>
      <c r="H53" s="60" t="n">
        <v>2010.58</v>
      </c>
      <c r="I53" s="60" t="n">
        <v>5122.49</v>
      </c>
      <c r="J53" s="60" t="n">
        <v>1933.26</v>
      </c>
    </row>
    <row r="54">
      <c r="A54" s="61" t="inlineStr">
        <is>
          <t>Ceuta_Melilla</t>
        </is>
      </c>
      <c r="B54" s="60" t="n">
        <v>10769.27</v>
      </c>
      <c r="C54" s="60" t="n">
        <v>3051.87</v>
      </c>
      <c r="D54" s="60" t="n">
        <v>5748.78</v>
      </c>
      <c r="E54" s="60" t="n">
        <v>1295.88</v>
      </c>
      <c r="F54" s="60" t="n">
        <v>431.43</v>
      </c>
      <c r="G54" s="60" t="n">
        <v>2200.79</v>
      </c>
      <c r="H54" s="60" t="n">
        <v>1300.74</v>
      </c>
      <c r="I54" s="60" t="n">
        <v>3590.31</v>
      </c>
      <c r="J54" s="60" t="n">
        <v>1033.48</v>
      </c>
    </row>
    <row r="55"/>
    <row r="56">
      <c r="A56" s="64" t="inlineStr">
        <is>
          <t>Turismo ~ Educación</t>
        </is>
      </c>
    </row>
    <row r="57">
      <c r="A57" s="32" t="inlineStr">
        <is>
          <t>b</t>
        </is>
      </c>
      <c r="B57" s="57">
        <f>SLOPE(I4:I54,H4:H54)</f>
        <v/>
      </c>
      <c r="C57" s="58" t="inlineStr">
        <is>
          <t>→ =PENDIENTE(I4:I54;H4:H54)</t>
        </is>
      </c>
    </row>
    <row r="58">
      <c r="A58" s="32" t="inlineStr">
        <is>
          <t>a</t>
        </is>
      </c>
      <c r="B58" s="57">
        <f>INTERCEPT(I4:I54,H4:H54)</f>
        <v/>
      </c>
      <c r="C58" s="58" t="inlineStr">
        <is>
          <t>→ =INTERSECCION.EJE(I4:I54;H4:H54)</t>
        </is>
      </c>
    </row>
    <row r="59">
      <c r="A59" s="32" t="inlineStr">
        <is>
          <t>r</t>
        </is>
      </c>
      <c r="B59" s="57">
        <f>CORREL(H4:H54,I4:I54)</f>
        <v/>
      </c>
      <c r="C59" s="58" t="inlineStr">
        <is>
          <t>→ =COEF.DE.CORREL(H4:H54;I4:I54)</t>
        </is>
      </c>
    </row>
    <row r="60">
      <c r="A60" s="32" t="inlineStr">
        <is>
          <t>R²</t>
        </is>
      </c>
      <c r="B60" s="57">
        <f>RSQ(I4:I54,H4:H54)</f>
        <v/>
      </c>
      <c r="C60" s="58" t="inlineStr">
        <is>
          <t>→ =COEFICIENTE.R2(I4:I54;H4:H54)</t>
        </is>
      </c>
    </row>
    <row r="61">
      <c r="A61" s="64" t="inlineStr">
        <is>
          <t>Turismo ~ Vivienda</t>
        </is>
      </c>
    </row>
    <row r="62">
      <c r="A62" s="32" t="inlineStr">
        <is>
          <t>b</t>
        </is>
      </c>
      <c r="B62" s="57">
        <f>SLOPE(I4:I54,D4:D54)</f>
        <v/>
      </c>
      <c r="C62" s="58" t="inlineStr">
        <is>
          <t>→ =PENDIENTE(I4:I54;D4:D54)</t>
        </is>
      </c>
    </row>
    <row r="63">
      <c r="A63" s="32" t="inlineStr">
        <is>
          <t>a</t>
        </is>
      </c>
      <c r="B63" s="57">
        <f>INTERCEPT(I4:I54,D4:D54)</f>
        <v/>
      </c>
      <c r="C63" s="58" t="inlineStr">
        <is>
          <t>→ =INTERSECCION.EJE(I4:I54;D4:D54)</t>
        </is>
      </c>
    </row>
    <row r="64">
      <c r="A64" s="32" t="inlineStr">
        <is>
          <t>r</t>
        </is>
      </c>
      <c r="B64" s="57">
        <f>CORREL(D4:D54,I4:I54)</f>
        <v/>
      </c>
      <c r="C64" s="58" t="inlineStr">
        <is>
          <t>→ =COEF.DE.CORREL(D4:D54;I4:I54)</t>
        </is>
      </c>
    </row>
    <row r="65">
      <c r="A65" s="32" t="inlineStr">
        <is>
          <t>R²</t>
        </is>
      </c>
      <c r="B65" s="57">
        <f>RSQ(I4:I54,D4:D54)</f>
        <v/>
      </c>
      <c r="C65" s="58" t="inlineStr">
        <is>
          <t>→ =COEFICIENTE.R2(I4:I54;D4:D54)</t>
        </is>
      </c>
    </row>
    <row r="66">
      <c r="A66" s="64" t="inlineStr">
        <is>
          <t>Vivienda ~ Alimentación</t>
        </is>
      </c>
    </row>
    <row r="67">
      <c r="A67" s="32" t="inlineStr">
        <is>
          <t>b</t>
        </is>
      </c>
      <c r="B67" s="57">
        <f>SLOPE(D4:D54,B4:B54)</f>
        <v/>
      </c>
      <c r="C67" s="58" t="inlineStr">
        <is>
          <t>→ =PENDIENTE(D4:D54;B4:B54)</t>
        </is>
      </c>
    </row>
    <row r="68">
      <c r="A68" s="32" t="inlineStr">
        <is>
          <t>a</t>
        </is>
      </c>
      <c r="B68" s="57">
        <f>INTERCEPT(D4:D54,B4:B54)</f>
        <v/>
      </c>
      <c r="C68" s="58" t="inlineStr">
        <is>
          <t>→ =INTERSECCION.EJE(D4:D54;B4:B54)</t>
        </is>
      </c>
    </row>
    <row r="69">
      <c r="A69" s="32" t="inlineStr">
        <is>
          <t>r</t>
        </is>
      </c>
      <c r="B69" s="57">
        <f>CORREL(B4:B54,D4:D54)</f>
        <v/>
      </c>
      <c r="C69" s="58" t="inlineStr">
        <is>
          <t>→ =COEF.DE.CORREL(B4:B54;D4:D54)</t>
        </is>
      </c>
    </row>
    <row r="70">
      <c r="A70" s="32" t="inlineStr">
        <is>
          <t>R²</t>
        </is>
      </c>
      <c r="B70" s="57">
        <f>RSQ(D4:D54,B4:B54)</f>
        <v/>
      </c>
      <c r="C70" s="58" t="inlineStr">
        <is>
          <t>→ =COEFICIENTE.R2(D4:D54;B4:B54)</t>
        </is>
      </c>
    </row>
  </sheetData>
  <hyperlinks>
    <hyperlink ref="I1" location="'Inicio'!A1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23"/>
  <sheetViews>
    <sheetView tabSelected="0" zoomScale="11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54" t="inlineStr">
        <is>
          <t>Tema 4 · Ejercicios 1, 2 y 3</t>
        </is>
      </c>
      <c r="I1" s="20" t="inlineStr">
        <is>
          <t>← Volver al inicio</t>
        </is>
      </c>
    </row>
    <row r="2">
      <c r="A2" s="55" t="inlineStr">
        <is>
          <t>Encadenar tasas</t>
        </is>
      </c>
    </row>
    <row r="3"/>
    <row r="4">
      <c r="A4" s="64" t="inlineStr">
        <is>
          <t>Ejercicio 1 (base 2019)</t>
        </is>
      </c>
    </row>
    <row r="5">
      <c r="A5" s="32" t="inlineStr">
        <is>
          <t>2019</t>
        </is>
      </c>
      <c r="B5" s="68">
        <f>100</f>
        <v/>
      </c>
      <c r="C5" s="58" t="inlineStr">
        <is>
          <t>→ =100</t>
        </is>
      </c>
    </row>
    <row r="6">
      <c r="A6" s="32" t="inlineStr">
        <is>
          <t>2020</t>
        </is>
      </c>
      <c r="B6" s="68">
        <f>100*1.4</f>
        <v/>
      </c>
      <c r="C6" s="58" t="inlineStr">
        <is>
          <t>→ =100*1,4</t>
        </is>
      </c>
    </row>
    <row r="7">
      <c r="A7" s="32" t="inlineStr">
        <is>
          <t>2021</t>
        </is>
      </c>
      <c r="B7" s="68">
        <f>100*1.4*0.8</f>
        <v/>
      </c>
      <c r="C7" s="58" t="inlineStr">
        <is>
          <t>→ =100*1,4*0,8</t>
        </is>
      </c>
    </row>
    <row r="8">
      <c r="A8" s="32" t="inlineStr">
        <is>
          <t>2022</t>
        </is>
      </c>
      <c r="B8" s="68">
        <f>B7/1.15</f>
        <v/>
      </c>
      <c r="C8" s="58" t="inlineStr">
        <is>
          <t>→ =B7/1,15</t>
        </is>
      </c>
    </row>
    <row r="9"/>
    <row r="10">
      <c r="A10" s="64" t="inlineStr">
        <is>
          <t>Ejercicio 2 (base 2019)</t>
        </is>
      </c>
    </row>
    <row r="11">
      <c r="A11" s="32" t="inlineStr">
        <is>
          <t>2018</t>
        </is>
      </c>
      <c r="B11" s="68">
        <f>120/0.8</f>
        <v/>
      </c>
      <c r="C11" s="58" t="inlineStr">
        <is>
          <t>→ =120/0,8</t>
        </is>
      </c>
    </row>
    <row r="12">
      <c r="A12" s="32" t="inlineStr">
        <is>
          <t>2019</t>
        </is>
      </c>
      <c r="B12" s="68">
        <f>100</f>
        <v/>
      </c>
      <c r="C12" s="58" t="inlineStr">
        <is>
          <t>→ =100</t>
        </is>
      </c>
    </row>
    <row r="13">
      <c r="A13" s="32" t="inlineStr">
        <is>
          <t>2020</t>
        </is>
      </c>
      <c r="B13" s="68">
        <f>120</f>
        <v/>
      </c>
      <c r="C13" s="58" t="inlineStr">
        <is>
          <t>→ =120</t>
        </is>
      </c>
    </row>
    <row r="14">
      <c r="A14" s="32" t="inlineStr">
        <is>
          <t>2021</t>
        </is>
      </c>
      <c r="B14" s="68">
        <f>120/0.5</f>
        <v/>
      </c>
      <c r="C14" s="58" t="inlineStr">
        <is>
          <t>→ =120/0,5</t>
        </is>
      </c>
    </row>
    <row r="15"/>
    <row r="16">
      <c r="A16" s="64" t="inlineStr">
        <is>
          <t>Ejercicio 3 (base 2020)</t>
        </is>
      </c>
    </row>
    <row r="17">
      <c r="A17" s="65" t="inlineStr">
        <is>
          <t>Año</t>
        </is>
      </c>
      <c r="B17" s="65" t="inlineStr">
        <is>
          <t>Tasa</t>
        </is>
      </c>
      <c r="C17" s="65" t="inlineStr">
        <is>
          <t>Índice</t>
        </is>
      </c>
    </row>
    <row r="18">
      <c r="A18" s="61" t="n">
        <v>2020</v>
      </c>
      <c r="B18" s="77" t="n"/>
      <c r="C18" s="78" t="n">
        <v>100</v>
      </c>
    </row>
    <row r="19">
      <c r="A19" s="61" t="n">
        <v>2021</v>
      </c>
      <c r="B19" s="77" t="n">
        <v>0.09</v>
      </c>
      <c r="C19" s="78">
        <f>C18*(1+B19)</f>
        <v/>
      </c>
    </row>
    <row r="20">
      <c r="A20" s="61" t="n">
        <v>2022</v>
      </c>
      <c r="B20" s="77" t="n">
        <v>0.1</v>
      </c>
      <c r="C20" s="78">
        <f>C19*(1+B20)</f>
        <v/>
      </c>
    </row>
    <row r="21">
      <c r="A21" s="61" t="n">
        <v>2023</v>
      </c>
      <c r="B21" s="77" t="n">
        <v>-0.02</v>
      </c>
      <c r="C21" s="78">
        <f>C20*(1+B21)</f>
        <v/>
      </c>
    </row>
    <row r="22">
      <c r="A22" s="61" t="n">
        <v>2024</v>
      </c>
      <c r="B22" s="77" t="n">
        <v>0.08</v>
      </c>
      <c r="C22" s="78">
        <f>C21*(1+B22)</f>
        <v/>
      </c>
    </row>
    <row r="23">
      <c r="A23" s="61" t="n">
        <v>2025</v>
      </c>
      <c r="B23" s="77" t="n">
        <v>0.1</v>
      </c>
      <c r="C23" s="78">
        <f>C22*(1+B23)</f>
        <v/>
      </c>
    </row>
  </sheetData>
  <hyperlinks>
    <hyperlink ref="I1" location="'Inicio'!A1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22"/>
  <sheetViews>
    <sheetView tabSelected="0" zoomScale="11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54" t="inlineStr">
        <is>
          <t>Tema 4 · Ejercicios 4, 5 y 6</t>
        </is>
      </c>
      <c r="I1" s="20" t="inlineStr">
        <is>
          <t>← Volver al inicio</t>
        </is>
      </c>
    </row>
    <row r="2"/>
    <row r="3">
      <c r="A3" s="64" t="inlineStr">
        <is>
          <t>Ejercicio 4</t>
        </is>
      </c>
    </row>
    <row r="4">
      <c r="A4" s="32" t="inlineStr">
        <is>
          <t>Salario que mantendría el poder adquisitivo</t>
        </is>
      </c>
      <c r="B4" s="68">
        <f>433.45*1.035</f>
        <v/>
      </c>
      <c r="C4" s="58" t="inlineStr">
        <is>
          <t>→ =433,45*1,035</t>
        </is>
      </c>
    </row>
    <row r="5">
      <c r="A5" s="32" t="inlineStr">
        <is>
          <t>Salario 2024 en € de 2023</t>
        </is>
      </c>
      <c r="B5" s="68">
        <f>442.20/103.5*100</f>
        <v/>
      </c>
      <c r="C5" s="58" t="inlineStr">
        <is>
          <t>→ =442,20/103,5*100</t>
        </is>
      </c>
    </row>
    <row r="6">
      <c r="A6" s="32" t="inlineStr">
        <is>
          <t>Variación real</t>
        </is>
      </c>
      <c r="B6" s="70">
        <f>B5/433.45-1</f>
        <v/>
      </c>
      <c r="C6" s="58" t="inlineStr">
        <is>
          <t>→ =B5/433,45-1</t>
        </is>
      </c>
    </row>
    <row r="7"/>
    <row r="8">
      <c r="A8" s="64" t="inlineStr">
        <is>
          <t>Ejercicio 5</t>
        </is>
      </c>
    </row>
    <row r="9">
      <c r="A9" s="65" t="inlineStr">
        <is>
          <t>Año</t>
        </is>
      </c>
      <c r="B9" s="65" t="inlineStr">
        <is>
          <t>Inversión</t>
        </is>
      </c>
      <c r="C9" s="65" t="inlineStr">
        <is>
          <t>Tasa</t>
        </is>
      </c>
    </row>
    <row r="10">
      <c r="A10" s="61" t="n">
        <v>2020</v>
      </c>
      <c r="B10" s="60" t="n">
        <v>45000</v>
      </c>
      <c r="C10" s="79" t="n"/>
    </row>
    <row r="11">
      <c r="A11" s="61" t="n">
        <v>2021</v>
      </c>
      <c r="B11" s="60" t="n">
        <v>50400</v>
      </c>
      <c r="C11" s="79">
        <f>B11/B10-1</f>
        <v/>
      </c>
    </row>
    <row r="12">
      <c r="A12" s="61" t="n">
        <v>2022</v>
      </c>
      <c r="B12" s="60" t="n">
        <v>48300</v>
      </c>
      <c r="C12" s="79">
        <f>B12/B11-1</f>
        <v/>
      </c>
    </row>
    <row r="13">
      <c r="A13" s="61" t="n">
        <v>2023</v>
      </c>
      <c r="B13" s="60" t="n">
        <v>53130</v>
      </c>
      <c r="C13" s="79">
        <f>B13/B12-1</f>
        <v/>
      </c>
    </row>
    <row r="14">
      <c r="A14" s="61" t="n">
        <v>2024</v>
      </c>
      <c r="B14" s="60" t="n">
        <v>55786</v>
      </c>
      <c r="C14" s="79">
        <f>B14/B13-1</f>
        <v/>
      </c>
    </row>
    <row r="15"/>
    <row r="16">
      <c r="A16" s="64" t="inlineStr">
        <is>
          <t>Ejercicio 6</t>
        </is>
      </c>
    </row>
    <row r="17">
      <c r="A17" s="65" t="inlineStr">
        <is>
          <t>Año</t>
        </is>
      </c>
      <c r="B17" s="65" t="inlineStr">
        <is>
          <t>Producción</t>
        </is>
      </c>
      <c r="C17" s="65" t="inlineStr">
        <is>
          <t>Base 2020</t>
        </is>
      </c>
      <c r="D17" s="65" t="inlineStr">
        <is>
          <t>Base 2022</t>
        </is>
      </c>
    </row>
    <row r="18">
      <c r="A18" s="61" t="n">
        <v>2020</v>
      </c>
      <c r="B18" s="60" t="n">
        <v>120</v>
      </c>
      <c r="C18" s="66">
        <f>B18/$B$18*100</f>
        <v/>
      </c>
      <c r="D18" s="66">
        <f>C18/$C$20*100</f>
        <v/>
      </c>
    </row>
    <row r="19">
      <c r="A19" s="61" t="n">
        <v>2021</v>
      </c>
      <c r="B19" s="60" t="n">
        <v>135</v>
      </c>
      <c r="C19" s="66">
        <f>B19/$B$18*100</f>
        <v/>
      </c>
      <c r="D19" s="66">
        <f>C19/$C$20*100</f>
        <v/>
      </c>
    </row>
    <row r="20">
      <c r="A20" s="61" t="n">
        <v>2022</v>
      </c>
      <c r="B20" s="60" t="n">
        <v>150</v>
      </c>
      <c r="C20" s="66">
        <f>B20/$B$18*100</f>
        <v/>
      </c>
      <c r="D20" s="66">
        <f>C20/$C$20*100</f>
        <v/>
      </c>
    </row>
    <row r="21">
      <c r="A21" s="61" t="n">
        <v>2023</v>
      </c>
      <c r="B21" s="60" t="n">
        <v>165</v>
      </c>
      <c r="C21" s="66">
        <f>B21/$B$18*100</f>
        <v/>
      </c>
      <c r="D21" s="66">
        <f>C21/$C$20*100</f>
        <v/>
      </c>
    </row>
    <row r="22">
      <c r="A22" s="61" t="n">
        <v>2024</v>
      </c>
      <c r="B22" s="60" t="n">
        <v>180</v>
      </c>
      <c r="C22" s="66">
        <f>B22/$B$18*100</f>
        <v/>
      </c>
      <c r="D22" s="66">
        <f>C22/$C$20*100</f>
        <v/>
      </c>
    </row>
  </sheetData>
  <hyperlinks>
    <hyperlink ref="I1" location="'Inicio'!A1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27"/>
  <sheetViews>
    <sheetView tabSelected="0" zoomScale="11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54" t="inlineStr">
        <is>
          <t>Tema 4 · Ejercicios 7 y 8</t>
        </is>
      </c>
      <c r="I1" s="20" t="inlineStr">
        <is>
          <t>← Volver al inicio</t>
        </is>
      </c>
    </row>
    <row r="2"/>
    <row r="3">
      <c r="A3" s="65" t="inlineStr">
        <is>
          <t>Año</t>
        </is>
      </c>
      <c r="B3" s="65" t="inlineStr">
        <is>
          <t>Cantidad</t>
        </is>
      </c>
      <c r="C3" s="65" t="inlineStr">
        <is>
          <t>Precio</t>
        </is>
      </c>
      <c r="D3" s="65" t="inlineStr">
        <is>
          <t>Valor</t>
        </is>
      </c>
      <c r="E3" s="65" t="inlineStr">
        <is>
          <t>Índice valor</t>
        </is>
      </c>
    </row>
    <row r="4">
      <c r="A4" s="61" t="n">
        <v>2015</v>
      </c>
      <c r="B4" s="60" t="n">
        <v>8820</v>
      </c>
      <c r="C4" s="60" t="n">
        <v>14</v>
      </c>
      <c r="D4" s="66">
        <f>B4*C4</f>
        <v/>
      </c>
      <c r="E4" s="66">
        <f>D4/$D$4*100</f>
        <v/>
      </c>
    </row>
    <row r="5">
      <c r="A5" s="61" t="n">
        <v>2022</v>
      </c>
      <c r="B5" s="60" t="n">
        <v>9030</v>
      </c>
      <c r="C5" s="60" t="n">
        <v>18</v>
      </c>
      <c r="D5" s="66">
        <f>B5*C5</f>
        <v/>
      </c>
      <c r="E5" s="66">
        <f>D5/$D$4*100</f>
        <v/>
      </c>
    </row>
    <row r="6">
      <c r="A6" s="61" t="n">
        <v>2025</v>
      </c>
      <c r="B6" s="60" t="n">
        <v>9073</v>
      </c>
      <c r="C6" s="60" t="n">
        <v>20</v>
      </c>
      <c r="D6" s="66">
        <f>B6*C6</f>
        <v/>
      </c>
      <c r="E6" s="66">
        <f>D6/$D$4*100</f>
        <v/>
      </c>
    </row>
    <row r="7">
      <c r="A7" s="32" t="inlineStr">
        <is>
          <t>Tasa 2015-2022 cantidad</t>
        </is>
      </c>
      <c r="B7" s="70">
        <f>B5/B4-1</f>
        <v/>
      </c>
      <c r="C7" s="58" t="inlineStr">
        <is>
          <t>→ =B5/B4-1</t>
        </is>
      </c>
    </row>
    <row r="8">
      <c r="A8" s="32" t="inlineStr">
        <is>
          <t>Tasa 2022-2025 cantidad</t>
        </is>
      </c>
      <c r="B8" s="70">
        <f>B6/B5-1</f>
        <v/>
      </c>
      <c r="C8" s="58" t="inlineStr">
        <is>
          <t>→ =B6/B5-1</t>
        </is>
      </c>
    </row>
    <row r="9">
      <c r="A9" s="32" t="inlineStr">
        <is>
          <t>Anual 2015-2022 cantidad</t>
        </is>
      </c>
      <c r="B9" s="70">
        <f>(1+B7)^(1/7)-1</f>
        <v/>
      </c>
      <c r="C9" s="58" t="inlineStr">
        <is>
          <t>→ =(1+B7)^(1/7)-1</t>
        </is>
      </c>
    </row>
    <row r="10">
      <c r="A10" s="32" t="inlineStr">
        <is>
          <t>Anual 2022-2025 cantidad</t>
        </is>
      </c>
      <c r="B10" s="70">
        <f>(1+B8)^(1/3)-1</f>
        <v/>
      </c>
      <c r="C10" s="58" t="inlineStr">
        <is>
          <t>→ =(1+B8)^(1/3)-1</t>
        </is>
      </c>
    </row>
    <row r="11">
      <c r="A11" s="32" t="inlineStr">
        <is>
          <t>Tasa 2015-2022 precio</t>
        </is>
      </c>
      <c r="B11" s="70">
        <f>C5/C4-1</f>
        <v/>
      </c>
      <c r="C11" s="58" t="inlineStr">
        <is>
          <t>→ =C5/C4-1</t>
        </is>
      </c>
    </row>
    <row r="12">
      <c r="A12" s="32" t="inlineStr">
        <is>
          <t>Tasa 2022-2025 precio</t>
        </is>
      </c>
      <c r="B12" s="70">
        <f>C6/C5-1</f>
        <v/>
      </c>
      <c r="C12" s="58" t="inlineStr">
        <is>
          <t>→ =C6/C5-1</t>
        </is>
      </c>
    </row>
    <row r="13">
      <c r="A13" s="32" t="inlineStr">
        <is>
          <t>Anual 2015-2022 precio</t>
        </is>
      </c>
      <c r="B13" s="70">
        <f>(1+B11)^(1/7)-1</f>
        <v/>
      </c>
      <c r="C13" s="58" t="inlineStr">
        <is>
          <t>→ =(1+B11)^(1/7)-1</t>
        </is>
      </c>
    </row>
    <row r="14">
      <c r="A14" s="32" t="inlineStr">
        <is>
          <t>Anual 2022-2025 precio</t>
        </is>
      </c>
      <c r="B14" s="70">
        <f>(1+B12)^(1/3)-1</f>
        <v/>
      </c>
      <c r="C14" s="58" t="inlineStr">
        <is>
          <t>→ =(1+B12)^(1/3)-1</t>
        </is>
      </c>
    </row>
    <row r="15">
      <c r="A15" s="32" t="inlineStr">
        <is>
          <t>Tasa 2015-2022 valor</t>
        </is>
      </c>
      <c r="B15" s="70">
        <f>D5/D4-1</f>
        <v/>
      </c>
      <c r="C15" s="58" t="inlineStr">
        <is>
          <t>→ =D5/D4-1</t>
        </is>
      </c>
    </row>
    <row r="16">
      <c r="A16" s="32" t="inlineStr">
        <is>
          <t>Tasa 2022-2025 valor</t>
        </is>
      </c>
      <c r="B16" s="70">
        <f>D6/D5-1</f>
        <v/>
      </c>
      <c r="C16" s="58" t="inlineStr">
        <is>
          <t>→ =D6/D5-1</t>
        </is>
      </c>
    </row>
    <row r="17">
      <c r="A17" s="32" t="inlineStr">
        <is>
          <t>Anual 2015-2022 valor</t>
        </is>
      </c>
      <c r="B17" s="70">
        <f>(1+B15)^(1/7)-1</f>
        <v/>
      </c>
      <c r="C17" s="58" t="inlineStr">
        <is>
          <t>→ =(1+B15)^(1/7)-1</t>
        </is>
      </c>
    </row>
    <row r="18">
      <c r="A18" s="32" t="inlineStr">
        <is>
          <t>Anual 2022-2025 valor</t>
        </is>
      </c>
      <c r="B18" s="70">
        <f>(1+B16)^(1/3)-1</f>
        <v/>
      </c>
      <c r="C18" s="58" t="inlineStr">
        <is>
          <t>→ =(1+B16)^(1/3)-1</t>
        </is>
      </c>
    </row>
    <row r="19"/>
    <row r="20">
      <c r="A20" s="64" t="inlineStr">
        <is>
          <t>Ejercicio 8</t>
        </is>
      </c>
    </row>
    <row r="21">
      <c r="A21" s="65" t="inlineStr">
        <is>
          <t>Mes</t>
        </is>
      </c>
      <c r="B21" s="65" t="inlineStr">
        <is>
          <t>Tasa</t>
        </is>
      </c>
      <c r="C21" s="65" t="inlineStr">
        <is>
          <t>Índice (1+tasa)</t>
        </is>
      </c>
      <c r="D21" s="65" t="inlineStr">
        <is>
          <t>Valor (100 €)</t>
        </is>
      </c>
    </row>
    <row r="22">
      <c r="A22" s="61" t="inlineStr">
        <is>
          <t>Inicio</t>
        </is>
      </c>
      <c r="B22" s="60" t="n"/>
      <c r="C22" s="61" t="n"/>
      <c r="D22" s="61" t="n">
        <v>100</v>
      </c>
    </row>
    <row r="23">
      <c r="A23" s="61" t="inlineStr">
        <is>
          <t>Enero</t>
        </is>
      </c>
      <c r="B23" s="60" t="n">
        <v>0.05</v>
      </c>
      <c r="C23" s="66">
        <f>1+B23</f>
        <v/>
      </c>
      <c r="D23" s="66">
        <f>D22*C23</f>
        <v/>
      </c>
    </row>
    <row r="24">
      <c r="A24" s="61" t="inlineStr">
        <is>
          <t>Febrero</t>
        </is>
      </c>
      <c r="B24" s="60" t="n">
        <v>0.04</v>
      </c>
      <c r="C24" s="66">
        <f>1+B24</f>
        <v/>
      </c>
      <c r="D24" s="66">
        <f>D23*C24</f>
        <v/>
      </c>
    </row>
    <row r="25">
      <c r="A25" s="61" t="inlineStr">
        <is>
          <t>Marzo</t>
        </is>
      </c>
      <c r="B25" s="60" t="n">
        <v>0.03</v>
      </c>
      <c r="C25" s="66">
        <f>1+B25</f>
        <v/>
      </c>
      <c r="D25" s="66">
        <f>D24*C25</f>
        <v/>
      </c>
    </row>
    <row r="26">
      <c r="A26" s="32" t="inlineStr">
        <is>
          <t>Tasa trimestral</t>
        </is>
      </c>
      <c r="B26" s="70">
        <f>PRODUCT(C23:C25)-1</f>
        <v/>
      </c>
      <c r="C26" s="58" t="inlineStr">
        <is>
          <t>→ =PRODUCTO(C23:C25)-1</t>
        </is>
      </c>
    </row>
    <row r="27">
      <c r="A27" s="32" t="inlineStr">
        <is>
          <t>Tasa media mensual</t>
        </is>
      </c>
      <c r="B27" s="84">
        <f>GEOMEAN(C23:C25)-1</f>
        <v/>
      </c>
      <c r="C27" s="58" t="inlineStr">
        <is>
          <t>→ =MEDIA.GEOM(C23:C25)-1</t>
        </is>
      </c>
    </row>
  </sheetData>
  <hyperlinks>
    <hyperlink ref="I1" location="'Inicio'!A1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0" zoomScale="11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54" t="inlineStr">
        <is>
          <t>Tema 4 · Ejercicio 9: Laspeyres, Paasche y Fisher</t>
        </is>
      </c>
      <c r="I1" s="20" t="inlineStr">
        <is>
          <t>← Volver al inicio</t>
        </is>
      </c>
    </row>
    <row r="2"/>
    <row r="3">
      <c r="A3" s="65" t="inlineStr">
        <is>
          <t>Producto</t>
        </is>
      </c>
      <c r="B3" s="65" t="inlineStr">
        <is>
          <t>p 2020</t>
        </is>
      </c>
      <c r="C3" s="65" t="inlineStr">
        <is>
          <t>q 2020</t>
        </is>
      </c>
      <c r="D3" s="65" t="inlineStr">
        <is>
          <t>p 2025</t>
        </is>
      </c>
      <c r="E3" s="65" t="inlineStr">
        <is>
          <t>q 2025</t>
        </is>
      </c>
      <c r="F3" s="65" t="inlineStr">
        <is>
          <t>pt·q0</t>
        </is>
      </c>
      <c r="G3" s="65" t="inlineStr">
        <is>
          <t>p0·q0</t>
        </is>
      </c>
      <c r="H3" s="65" t="inlineStr">
        <is>
          <t>pt·qt</t>
        </is>
      </c>
      <c r="I3" s="65" t="inlineStr">
        <is>
          <t>p0·qt</t>
        </is>
      </c>
    </row>
    <row r="4">
      <c r="A4" s="61" t="inlineStr">
        <is>
          <t>Pan</t>
        </is>
      </c>
      <c r="B4" s="60" t="n">
        <v>1.2</v>
      </c>
      <c r="C4" s="60" t="n">
        <v>300</v>
      </c>
      <c r="D4" s="60" t="n">
        <v>1.5</v>
      </c>
      <c r="E4" s="60" t="n">
        <v>280</v>
      </c>
      <c r="F4" s="66">
        <f>D4*C4</f>
        <v/>
      </c>
      <c r="G4" s="66">
        <f>B4*C4</f>
        <v/>
      </c>
      <c r="H4" s="66">
        <f>D4*E4</f>
        <v/>
      </c>
      <c r="I4" s="66">
        <f>B4*E4</f>
        <v/>
      </c>
    </row>
    <row r="5">
      <c r="A5" s="61" t="inlineStr">
        <is>
          <t>Leche</t>
        </is>
      </c>
      <c r="B5" s="60" t="n">
        <v>0.9</v>
      </c>
      <c r="C5" s="60" t="n">
        <v>200</v>
      </c>
      <c r="D5" s="60" t="n">
        <v>1.1</v>
      </c>
      <c r="E5" s="60" t="n">
        <v>210</v>
      </c>
      <c r="F5" s="66">
        <f>D5*C5</f>
        <v/>
      </c>
      <c r="G5" s="66">
        <f>B5*C5</f>
        <v/>
      </c>
      <c r="H5" s="66">
        <f>D5*E5</f>
        <v/>
      </c>
      <c r="I5" s="66">
        <f>B5*E5</f>
        <v/>
      </c>
    </row>
    <row r="6">
      <c r="A6" s="61" t="inlineStr">
        <is>
          <t>Huevos</t>
        </is>
      </c>
      <c r="B6" s="60" t="n">
        <v>2.5</v>
      </c>
      <c r="C6" s="60" t="n">
        <v>100</v>
      </c>
      <c r="D6" s="60" t="n">
        <v>3</v>
      </c>
      <c r="E6" s="60" t="n">
        <v>95</v>
      </c>
      <c r="F6" s="66">
        <f>D6*C6</f>
        <v/>
      </c>
      <c r="G6" s="66">
        <f>B6*C6</f>
        <v/>
      </c>
      <c r="H6" s="66">
        <f>D6*E6</f>
        <v/>
      </c>
      <c r="I6" s="66">
        <f>B6*E6</f>
        <v/>
      </c>
    </row>
    <row r="7">
      <c r="A7" s="61" t="inlineStr">
        <is>
          <t>Carne</t>
        </is>
      </c>
      <c r="B7" s="60" t="n">
        <v>8</v>
      </c>
      <c r="C7" s="60" t="n">
        <v>50</v>
      </c>
      <c r="D7" s="60" t="n">
        <v>9.5</v>
      </c>
      <c r="E7" s="60" t="n">
        <v>48</v>
      </c>
      <c r="F7" s="66">
        <f>D7*C7</f>
        <v/>
      </c>
      <c r="G7" s="66">
        <f>B7*C7</f>
        <v/>
      </c>
      <c r="H7" s="66">
        <f>D7*E7</f>
        <v/>
      </c>
      <c r="I7" s="66">
        <f>B7*E7</f>
        <v/>
      </c>
    </row>
    <row r="8">
      <c r="A8" s="61" t="inlineStr">
        <is>
          <t>Pescado</t>
        </is>
      </c>
      <c r="B8" s="60" t="n">
        <v>10</v>
      </c>
      <c r="C8" s="60" t="n">
        <v>40</v>
      </c>
      <c r="D8" s="60" t="n">
        <v>12</v>
      </c>
      <c r="E8" s="60" t="n">
        <v>38</v>
      </c>
      <c r="F8" s="66">
        <f>D8*C8</f>
        <v/>
      </c>
      <c r="G8" s="66">
        <f>B8*C8</f>
        <v/>
      </c>
      <c r="H8" s="66">
        <f>D8*E8</f>
        <v/>
      </c>
      <c r="I8" s="66">
        <f>B8*E8</f>
        <v/>
      </c>
    </row>
    <row r="9"/>
    <row r="10">
      <c r="A10" s="32" t="inlineStr">
        <is>
          <t>Laspeyres</t>
        </is>
      </c>
      <c r="B10" s="68">
        <f>SUMPRODUCT(D4:D8,C4:C8)/SUMPRODUCT(B4:B8,C4:C8)*100</f>
        <v/>
      </c>
      <c r="C10" s="58" t="inlineStr">
        <is>
          <t>→ =SUMAPRODUCTO(D4:D8;C4:C8)/SUMAPRODUCTO(B4:B8;C4:C8)*100</t>
        </is>
      </c>
    </row>
    <row r="11">
      <c r="A11" s="32" t="inlineStr">
        <is>
          <t>Paasche</t>
        </is>
      </c>
      <c r="B11" s="68">
        <f>SUMPRODUCT(D4:D8,E4:E8)/SUMPRODUCT(B4:B8,E4:E8)*100</f>
        <v/>
      </c>
      <c r="C11" s="58" t="inlineStr">
        <is>
          <t>→ =SUMAPRODUCTO(D4:D8;E4:E8)/SUMAPRODUCTO(B4:B8;E4:E8)*100</t>
        </is>
      </c>
    </row>
    <row r="12">
      <c r="A12" s="32" t="inlineStr">
        <is>
          <t>Fisher</t>
        </is>
      </c>
      <c r="B12" s="68">
        <f>SQRT(B10*B11)</f>
        <v/>
      </c>
      <c r="C12" s="58" t="inlineStr">
        <is>
          <t>→ =RAIZ(B10*B11)</t>
        </is>
      </c>
    </row>
  </sheetData>
  <hyperlinks>
    <hyperlink ref="I1" location="'Inicio'!A1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26"/>
  <sheetViews>
    <sheetView tabSelected="0" zoomScale="11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54" t="inlineStr">
        <is>
          <t>Tema 4 · Ejercicios 10, 11 y 12</t>
        </is>
      </c>
      <c r="I1" s="20" t="inlineStr">
        <is>
          <t>← Volver al inicio</t>
        </is>
      </c>
    </row>
    <row r="2"/>
    <row r="3">
      <c r="A3" s="64" t="inlineStr">
        <is>
          <t>Ejercicio 10</t>
        </is>
      </c>
    </row>
    <row r="4">
      <c r="A4" s="65" t="inlineStr">
        <is>
          <t>Año</t>
        </is>
      </c>
      <c r="B4" s="65" t="inlineStr">
        <is>
          <t>Sueldo</t>
        </is>
      </c>
      <c r="C4" s="65" t="inlineStr">
        <is>
          <t>IPC 1990</t>
        </is>
      </c>
      <c r="D4" s="65" t="inlineStr">
        <is>
          <t>IPC 1992</t>
        </is>
      </c>
      <c r="E4" s="65" t="inlineStr">
        <is>
          <t>Sueldo real (1992)</t>
        </is>
      </c>
    </row>
    <row r="5">
      <c r="A5" s="61" t="n">
        <v>1992</v>
      </c>
      <c r="B5" s="60" t="n">
        <v>150000</v>
      </c>
      <c r="C5" s="60" t="n">
        <v>120</v>
      </c>
      <c r="D5" s="66">
        <f>C5/$C$5*100</f>
        <v/>
      </c>
      <c r="E5" s="66">
        <f>B5/D5*100</f>
        <v/>
      </c>
    </row>
    <row r="6">
      <c r="A6" s="61" t="n">
        <v>1993</v>
      </c>
      <c r="B6" s="60" t="n">
        <v>162000</v>
      </c>
      <c r="C6" s="60" t="n">
        <v>130.5</v>
      </c>
      <c r="D6" s="66">
        <f>C6/$C$5*100</f>
        <v/>
      </c>
      <c r="E6" s="66">
        <f>B6/D6*100</f>
        <v/>
      </c>
    </row>
    <row r="7">
      <c r="A7" s="61" t="n">
        <v>1994</v>
      </c>
      <c r="B7" s="60" t="n">
        <v>170000</v>
      </c>
      <c r="C7" s="60" t="n">
        <v>137.4</v>
      </c>
      <c r="D7" s="66">
        <f>C7/$C$5*100</f>
        <v/>
      </c>
      <c r="E7" s="66">
        <f>B7/D7*100</f>
        <v/>
      </c>
    </row>
    <row r="8">
      <c r="A8" s="61" t="n">
        <v>1995</v>
      </c>
      <c r="B8" s="60" t="n">
        <v>183000</v>
      </c>
      <c r="C8" s="60" t="n">
        <v>144</v>
      </c>
      <c r="D8" s="66">
        <f>C8/$C$5*100</f>
        <v/>
      </c>
      <c r="E8" s="66">
        <f>B8/D8*100</f>
        <v/>
      </c>
    </row>
    <row r="9">
      <c r="A9" s="61" t="n">
        <v>1996</v>
      </c>
      <c r="B9" s="60" t="n">
        <v>190000</v>
      </c>
      <c r="C9" s="60" t="n">
        <v>153.8</v>
      </c>
      <c r="D9" s="66">
        <f>C9/$C$5*100</f>
        <v/>
      </c>
      <c r="E9" s="66">
        <f>B9/D9*100</f>
        <v/>
      </c>
    </row>
    <row r="10">
      <c r="A10" s="32" t="inlineStr">
        <is>
          <t>Variación nominal 92-96</t>
        </is>
      </c>
      <c r="B10" s="70">
        <f>B9/B5-1</f>
        <v/>
      </c>
      <c r="C10" s="58" t="inlineStr">
        <is>
          <t>→ =B9/B5-1</t>
        </is>
      </c>
    </row>
    <row r="11">
      <c r="A11" s="32" t="inlineStr">
        <is>
          <t>Variación real 92-96</t>
        </is>
      </c>
      <c r="B11" s="70">
        <f>E9/E5-1</f>
        <v/>
      </c>
      <c r="C11" s="58" t="inlineStr">
        <is>
          <t>→ =E9/E5-1</t>
        </is>
      </c>
    </row>
    <row r="12"/>
    <row r="13">
      <c r="A13" s="64" t="inlineStr">
        <is>
          <t>Ejercicio 11</t>
        </is>
      </c>
    </row>
    <row r="14">
      <c r="A14" s="32" t="inlineStr">
        <is>
          <t>Alquiler 2021</t>
        </is>
      </c>
      <c r="B14" s="68">
        <f>1200*114/112</f>
        <v/>
      </c>
      <c r="C14" s="58" t="inlineStr">
        <is>
          <t>→ =1200*114/112</t>
        </is>
      </c>
    </row>
    <row r="15">
      <c r="A15" s="32" t="inlineStr">
        <is>
          <t>Alquiler 2022</t>
        </is>
      </c>
      <c r="B15" s="68">
        <f>1200*120/112</f>
        <v/>
      </c>
      <c r="C15" s="58" t="inlineStr">
        <is>
          <t>→ =1200*120/112</t>
        </is>
      </c>
    </row>
    <row r="16">
      <c r="A16" s="32" t="inlineStr">
        <is>
          <t>Equivalente en 2020 de 1300 € en 2022</t>
        </is>
      </c>
      <c r="B16" s="68">
        <f>1300*112/120</f>
        <v/>
      </c>
      <c r="C16" s="58" t="inlineStr">
        <is>
          <t>→ =1300*112/120</t>
        </is>
      </c>
    </row>
    <row r="17"/>
    <row r="18">
      <c r="A18" s="64" t="inlineStr">
        <is>
          <t>Ejercicio 12</t>
        </is>
      </c>
    </row>
    <row r="19">
      <c r="A19" s="65" t="inlineStr">
        <is>
          <t>Año</t>
        </is>
      </c>
      <c r="B19" s="65" t="inlineStr">
        <is>
          <t>SMI</t>
        </is>
      </c>
      <c r="C19" s="65" t="inlineStr">
        <is>
          <t>IPC</t>
        </is>
      </c>
      <c r="D19" s="65" t="inlineStr">
        <is>
          <t>SMI real (€ 2010)</t>
        </is>
      </c>
      <c r="E19" s="65" t="inlineStr">
        <is>
          <t>Índice real (2010=100)</t>
        </is>
      </c>
    </row>
    <row r="20">
      <c r="A20" s="61" t="n">
        <v>2010</v>
      </c>
      <c r="B20" s="60" t="n">
        <v>633.3</v>
      </c>
      <c r="C20" s="60" t="n">
        <v>105.63</v>
      </c>
      <c r="D20" s="66">
        <f>B20*$C$20/C20</f>
        <v/>
      </c>
      <c r="E20" s="66">
        <f>D20/$D$20*100</f>
        <v/>
      </c>
    </row>
    <row r="21">
      <c r="A21" s="61" t="n">
        <v>2011</v>
      </c>
      <c r="B21" s="60" t="n">
        <v>641.4</v>
      </c>
      <c r="C21" s="60" t="n">
        <v>109.01</v>
      </c>
      <c r="D21" s="66">
        <f>B21*$C$20/C21</f>
        <v/>
      </c>
      <c r="E21" s="66">
        <f>D21/$D$20*100</f>
        <v/>
      </c>
    </row>
    <row r="22">
      <c r="A22" s="61" t="n">
        <v>2012</v>
      </c>
      <c r="B22" s="60" t="n">
        <v>641.4</v>
      </c>
      <c r="C22" s="60" t="n">
        <v>111.67</v>
      </c>
      <c r="D22" s="66">
        <f>B22*$C$20/C22</f>
        <v/>
      </c>
      <c r="E22" s="66">
        <f>D22/$D$20*100</f>
        <v/>
      </c>
    </row>
    <row r="23">
      <c r="A23" s="61" t="n">
        <v>2013</v>
      </c>
      <c r="B23" s="60" t="n">
        <v>645.3</v>
      </c>
      <c r="C23" s="60" t="n">
        <v>113.25</v>
      </c>
      <c r="D23" s="66">
        <f>B23*$C$20/C23</f>
        <v/>
      </c>
      <c r="E23" s="66">
        <f>D23/$D$20*100</f>
        <v/>
      </c>
    </row>
    <row r="24">
      <c r="A24" s="61" t="n">
        <v>2014</v>
      </c>
      <c r="B24" s="60" t="n">
        <v>645.3</v>
      </c>
      <c r="C24" s="60" t="n">
        <v>113.08</v>
      </c>
      <c r="D24" s="66">
        <f>B24*$C$20/C24</f>
        <v/>
      </c>
      <c r="E24" s="66">
        <f>D24/$D$20*100</f>
        <v/>
      </c>
    </row>
    <row r="25">
      <c r="A25" s="61" t="n">
        <v>2015</v>
      </c>
      <c r="B25" s="60" t="n">
        <v>648.6</v>
      </c>
      <c r="C25" s="60" t="n">
        <v>112.52</v>
      </c>
      <c r="D25" s="66">
        <f>B25*$C$20/C25</f>
        <v/>
      </c>
      <c r="E25" s="66">
        <f>D25/$D$20*100</f>
        <v/>
      </c>
    </row>
    <row r="26">
      <c r="A26" s="61" t="n">
        <v>2016</v>
      </c>
      <c r="B26" s="60" t="n">
        <v>655.2</v>
      </c>
      <c r="C26" s="60" t="n">
        <v>112.29</v>
      </c>
      <c r="D26" s="66">
        <f>B26*$C$20/C26</f>
        <v/>
      </c>
      <c r="E26" s="66">
        <f>D26/$D$20*100</f>
        <v/>
      </c>
    </row>
  </sheetData>
  <hyperlinks>
    <hyperlink ref="I1" location="'Inicio'!A1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14"/>
  <sheetViews>
    <sheetView tabSelected="0" zoomScale="11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54" t="inlineStr">
        <is>
          <t>Tema 4 · Ejemplo de los apuntes: salarios e IPC 2015-2025</t>
        </is>
      </c>
      <c r="I1" s="20" t="inlineStr">
        <is>
          <t>← Volver al inicio</t>
        </is>
      </c>
    </row>
    <row r="2"/>
    <row r="3">
      <c r="A3" s="65" t="inlineStr">
        <is>
          <t>Año</t>
        </is>
      </c>
      <c r="B3" s="65" t="inlineStr">
        <is>
          <t>Salario</t>
        </is>
      </c>
      <c r="C3" s="65" t="inlineStr">
        <is>
          <t>IPC</t>
        </is>
      </c>
      <c r="D3" s="65" t="inlineStr">
        <is>
          <t>Salario real</t>
        </is>
      </c>
      <c r="E3" s="65" t="inlineStr">
        <is>
          <t>Índice nominal</t>
        </is>
      </c>
      <c r="F3" s="65" t="inlineStr">
        <is>
          <t>Índice real</t>
        </is>
      </c>
    </row>
    <row r="4">
      <c r="A4" s="61" t="n">
        <v>2015</v>
      </c>
      <c r="B4" s="60" t="n">
        <v>1500</v>
      </c>
      <c r="C4" s="60" t="n">
        <v>100</v>
      </c>
      <c r="D4" s="66">
        <f>B4/C4*100</f>
        <v/>
      </c>
      <c r="E4" s="66">
        <f>B4/$B$4*100</f>
        <v/>
      </c>
      <c r="F4" s="66">
        <f>D4/$D$4*100</f>
        <v/>
      </c>
    </row>
    <row r="5">
      <c r="A5" s="61" t="n">
        <v>2016</v>
      </c>
      <c r="B5" s="60" t="n">
        <v>1530</v>
      </c>
      <c r="C5" s="60" t="n">
        <v>101.2</v>
      </c>
      <c r="D5" s="66">
        <f>B5/C5*100</f>
        <v/>
      </c>
      <c r="E5" s="66">
        <f>B5/$B$4*100</f>
        <v/>
      </c>
      <c r="F5" s="66">
        <f>D5/$D$4*100</f>
        <v/>
      </c>
    </row>
    <row r="6">
      <c r="A6" s="61" t="n">
        <v>2017</v>
      </c>
      <c r="B6" s="60" t="n">
        <v>1570</v>
      </c>
      <c r="C6" s="60" t="n">
        <v>102.5</v>
      </c>
      <c r="D6" s="66">
        <f>B6/C6*100</f>
        <v/>
      </c>
      <c r="E6" s="66">
        <f>B6/$B$4*100</f>
        <v/>
      </c>
      <c r="F6" s="66">
        <f>D6/$D$4*100</f>
        <v/>
      </c>
    </row>
    <row r="7">
      <c r="A7" s="61" t="n">
        <v>2018</v>
      </c>
      <c r="B7" s="60" t="n">
        <v>1600</v>
      </c>
      <c r="C7" s="60" t="n">
        <v>104</v>
      </c>
      <c r="D7" s="66">
        <f>B7/C7*100</f>
        <v/>
      </c>
      <c r="E7" s="66">
        <f>B7/$B$4*100</f>
        <v/>
      </c>
      <c r="F7" s="66">
        <f>D7/$D$4*100</f>
        <v/>
      </c>
    </row>
    <row r="8">
      <c r="A8" s="61" t="n">
        <v>2019</v>
      </c>
      <c r="B8" s="60" t="n">
        <v>1650</v>
      </c>
      <c r="C8" s="60" t="n">
        <v>106</v>
      </c>
      <c r="D8" s="66">
        <f>B8/C8*100</f>
        <v/>
      </c>
      <c r="E8" s="66">
        <f>B8/$B$4*100</f>
        <v/>
      </c>
      <c r="F8" s="66">
        <f>D8/$D$4*100</f>
        <v/>
      </c>
    </row>
    <row r="9">
      <c r="A9" s="61" t="n">
        <v>2020</v>
      </c>
      <c r="B9" s="60" t="n">
        <v>1700</v>
      </c>
      <c r="C9" s="60" t="n">
        <v>108.5</v>
      </c>
      <c r="D9" s="66">
        <f>B9/C9*100</f>
        <v/>
      </c>
      <c r="E9" s="66">
        <f>B9/$B$4*100</f>
        <v/>
      </c>
      <c r="F9" s="66">
        <f>D9/$D$4*100</f>
        <v/>
      </c>
    </row>
    <row r="10">
      <c r="A10" s="61" t="n">
        <v>2021</v>
      </c>
      <c r="B10" s="60" t="n">
        <v>1750</v>
      </c>
      <c r="C10" s="60" t="n">
        <v>110.2</v>
      </c>
      <c r="D10" s="66">
        <f>B10/C10*100</f>
        <v/>
      </c>
      <c r="E10" s="66">
        <f>B10/$B$4*100</f>
        <v/>
      </c>
      <c r="F10" s="66">
        <f>D10/$D$4*100</f>
        <v/>
      </c>
    </row>
    <row r="11">
      <c r="A11" s="61" t="n">
        <v>2022</v>
      </c>
      <c r="B11" s="60" t="n">
        <v>1800</v>
      </c>
      <c r="C11" s="60" t="n">
        <v>112</v>
      </c>
      <c r="D11" s="66">
        <f>B11/C11*100</f>
        <v/>
      </c>
      <c r="E11" s="66">
        <f>B11/$B$4*100</f>
        <v/>
      </c>
      <c r="F11" s="66">
        <f>D11/$D$4*100</f>
        <v/>
      </c>
    </row>
    <row r="12">
      <c r="A12" s="61" t="n">
        <v>2023</v>
      </c>
      <c r="B12" s="60" t="n">
        <v>1850</v>
      </c>
      <c r="C12" s="60" t="n">
        <v>114.5</v>
      </c>
      <c r="D12" s="66">
        <f>B12/C12*100</f>
        <v/>
      </c>
      <c r="E12" s="66">
        <f>B12/$B$4*100</f>
        <v/>
      </c>
      <c r="F12" s="66">
        <f>D12/$D$4*100</f>
        <v/>
      </c>
    </row>
    <row r="13">
      <c r="A13" s="61" t="n">
        <v>2024</v>
      </c>
      <c r="B13" s="60" t="n">
        <v>1900</v>
      </c>
      <c r="C13" s="60" t="n">
        <v>117</v>
      </c>
      <c r="D13" s="66">
        <f>B13/C13*100</f>
        <v/>
      </c>
      <c r="E13" s="66">
        <f>B13/$B$4*100</f>
        <v/>
      </c>
      <c r="F13" s="66">
        <f>D13/$D$4*100</f>
        <v/>
      </c>
    </row>
    <row r="14">
      <c r="A14" s="61" t="n">
        <v>2025</v>
      </c>
      <c r="B14" s="60" t="n">
        <v>1950</v>
      </c>
      <c r="C14" s="60" t="n">
        <v>119</v>
      </c>
      <c r="D14" s="66">
        <f>B14/C14*100</f>
        <v/>
      </c>
      <c r="E14" s="66">
        <f>B14/$B$4*100</f>
        <v/>
      </c>
      <c r="F14" s="66">
        <f>D14/$D$4*100</f>
        <v/>
      </c>
    </row>
  </sheetData>
  <hyperlinks>
    <hyperlink ref="I1" location="'Inicio'!A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2026-10-03T12:27:34Z</dcterms:created>
  <dcterms:modified xmlns:dcterms="http://purl.org/dc/terms/" xmlns:xsi="http://www.w3.org/2001/XMLSchema-instance" xsi:type="dcterms:W3CDTF">2026-10-03T12:27:35Z</dcterms:modified>
</cp:coreProperties>
</file>