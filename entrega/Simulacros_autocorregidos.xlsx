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S1_P1" sheetId="2" state="visible" r:id="rId2"/>
    <sheet xmlns:r="http://schemas.openxmlformats.org/officeDocument/2006/relationships" name="S1_P2" sheetId="3" state="visible" r:id="rId3"/>
    <sheet xmlns:r="http://schemas.openxmlformats.org/officeDocument/2006/relationships" name="S1_P3" sheetId="4" state="visible" r:id="rId4"/>
    <sheet xmlns:r="http://schemas.openxmlformats.org/officeDocument/2006/relationships" name="S1_P4" sheetId="5" state="visible" r:id="rId5"/>
    <sheet xmlns:r="http://schemas.openxmlformats.org/officeDocument/2006/relationships" name="S1_P5" sheetId="6" state="visible" r:id="rId6"/>
    <sheet xmlns:r="http://schemas.openxmlformats.org/officeDocument/2006/relationships" name="S2_P1" sheetId="7" state="visible" r:id="rId7"/>
    <sheet xmlns:r="http://schemas.openxmlformats.org/officeDocument/2006/relationships" name="S2_P2" sheetId="8" state="visible" r:id="rId8"/>
    <sheet xmlns:r="http://schemas.openxmlformats.org/officeDocument/2006/relationships" name="S2_P3" sheetId="9" state="visible" r:id="rId9"/>
    <sheet xmlns:r="http://schemas.openxmlformats.org/officeDocument/2006/relationships" name="S2_P4" sheetId="10" state="visible" r:id="rId10"/>
    <sheet xmlns:r="http://schemas.openxmlformats.org/officeDocument/2006/relationships" name="S2_P5" sheetId="11" state="visible" r:id="rId11"/>
    <sheet xmlns:r="http://schemas.openxmlformats.org/officeDocument/2006/relationships" name="Claves" sheetId="12" state="veryHidden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F5D65"/>
    </font>
    <font>
      <color rgb="004F5D65"/>
      <sz val="9"/>
    </font>
    <font>
      <b val="1"/>
      <color rgb="0026323A"/>
      <sz val="11"/>
    </font>
    <font>
      <b val="1"/>
    </font>
    <font>
      <b val="1"/>
      <color rgb="002F5FD0"/>
      <sz val="12"/>
    </font>
    <font>
      <b val="1"/>
      <color rgb="001F2A30"/>
    </font>
    <font>
      <b val="1"/>
      <color rgb="000F8A68"/>
      <sz val="12"/>
    </font>
    <font>
      <b val="1"/>
      <color rgb="00C2185B"/>
      <sz val="12"/>
    </font>
    <font>
      <b val="1"/>
      <color rgb="00A86F00"/>
      <sz val="12"/>
    </font>
    <font>
      <i val="1"/>
      <color rgb="006B5800"/>
      <sz val="10"/>
    </font>
    <font>
      <i val="1"/>
      <color rgb="006B5800"/>
      <sz val="9"/>
    </font>
    <font>
      <b val="1"/>
      <color rgb="000F7A4E"/>
      <sz val="13"/>
    </font>
    <font>
      <b val="1"/>
      <color rgb="001F2A30"/>
      <sz val="18"/>
    </font>
    <font>
      <color rgb="0026323A"/>
      <sz val="11"/>
    </font>
    <font>
      <b val="1"/>
      <color rgb="001F2A30"/>
      <sz val="13"/>
    </font>
    <font>
      <color rgb="000563C1"/>
      <u val="single"/>
    </font>
    <font>
      <b val="1"/>
      <color rgb="000F7A4E"/>
      <sz val="14"/>
    </font>
  </fonts>
  <fills count="9">
    <fill>
      <patternFill/>
    </fill>
    <fill>
      <patternFill patternType="gray125"/>
    </fill>
    <fill>
      <patternFill patternType="solid">
        <fgColor rgb="002F5FD0"/>
      </patternFill>
    </fill>
    <fill>
      <patternFill patternType="solid">
        <fgColor rgb="00E6EDFC"/>
      </patternFill>
    </fill>
    <fill>
      <patternFill patternType="solid">
        <fgColor rgb="00FFF4C2"/>
      </patternFill>
    </fill>
    <fill>
      <patternFill patternType="solid">
        <fgColor rgb="00DDE5EA"/>
      </patternFill>
    </fill>
    <fill>
      <patternFill patternType="solid">
        <fgColor rgb="000F8A68"/>
      </patternFill>
    </fill>
    <fill>
      <patternFill patternType="solid">
        <fgColor rgb="00C2185B"/>
      </patternFill>
    </fill>
    <fill>
      <patternFill patternType="solid">
        <fgColor rgb="00A86F00"/>
      </patternFill>
    </fill>
  </fills>
  <borders count="2">
    <border>
      <left/>
      <right/>
      <top/>
      <bottom/>
      <diagonal/>
    </border>
    <border>
      <left style="thin">
        <color rgb="00B7C2C8"/>
      </left>
      <right style="thin">
        <color rgb="00B7C2C8"/>
      </right>
      <top style="thin">
        <color rgb="00B7C2C8"/>
      </top>
      <bottom style="thin">
        <color rgb="00B7C2C8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5" fillId="0" borderId="0" pivotButton="0" quotePrefix="0" xfId="0"/>
    <xf numFmtId="0" fontId="17" fillId="0" borderId="0" pivotButton="0" quotePrefix="0" xfId="0"/>
    <xf numFmtId="2" fontId="0" fillId="0" borderId="0" pivotButton="0" quotePrefix="0" xfId="0"/>
    <xf numFmtId="164" fontId="18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0" borderId="0" pivotButton="0" quotePrefix="0" xfId="0"/>
    <xf numFmtId="0" fontId="13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0" fillId="3" borderId="1" applyAlignment="1" pivotButton="0" quotePrefix="0" xfId="0">
      <alignment horizontal="center"/>
    </xf>
    <xf numFmtId="0" fontId="6" fillId="0" borderId="0" pivotButton="0" quotePrefix="0" xfId="0"/>
    <xf numFmtId="0" fontId="5" fillId="0" borderId="0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1" fillId="6" borderId="0" applyAlignment="1" pivotButton="0" quotePrefix="0" xfId="0">
      <alignment vertical="center"/>
    </xf>
    <xf numFmtId="0" fontId="0" fillId="6" borderId="0" pivotButton="0" quotePrefix="0" xfId="0"/>
    <xf numFmtId="0" fontId="8" fillId="0" borderId="0" pivotButton="0" quotePrefix="0" xfId="0"/>
    <xf numFmtId="0" fontId="1" fillId="7" borderId="0" applyAlignment="1" pivotButton="0" quotePrefix="0" xfId="0">
      <alignment vertical="center"/>
    </xf>
    <xf numFmtId="0" fontId="0" fillId="7" borderId="0" pivotButton="0" quotePrefix="0" xfId="0"/>
    <xf numFmtId="0" fontId="9" fillId="0" borderId="0" pivotButton="0" quotePrefix="0" xfId="0"/>
    <xf numFmtId="0" fontId="1" fillId="8" borderId="0" applyAlignment="1" pivotButton="0" quotePrefix="0" xfId="0">
      <alignment vertical="center"/>
    </xf>
    <xf numFmtId="0" fontId="0" fillId="8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2" fillId="0" borderId="0" applyAlignment="1" pivotButton="0" quotePrefix="0" xfId="0">
      <alignment horizontal="center" wrapText="1"/>
    </xf>
    <xf numFmtId="0" fontId="0" fillId="4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C8EFD9"/>
        </patternFill>
      </fill>
    </dxf>
    <dxf>
      <fill>
        <patternFill patternType="solid">
          <fgColor rgb="00FAD2D8"/>
        </patternFill>
      </fill>
    </dxf>
    <dxf>
      <font>
        <b val="1"/>
        <color rgb="000F7A4E"/>
      </font>
    </dxf>
    <dxf>
      <font>
        <b val="1"/>
        <color rgb="00B3123A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62" customWidth="1" min="3" max="3"/>
    <col width="14" customWidth="1" min="4" max="4"/>
  </cols>
  <sheetData>
    <row r="1"/>
    <row r="2">
      <c r="B2" s="1" t="inlineStr">
        <is>
          <t>Simulacros de examen autocorregidos</t>
        </is>
      </c>
    </row>
    <row r="3"/>
    <row r="4">
      <c r="B4" s="2" t="inlineStr">
        <is>
          <t>Dos exámenes de prueba de 5 preguntas (2 puntos cada una). Tiempo orientativo: 90 minutos cada uno.</t>
        </is>
      </c>
    </row>
    <row r="5">
      <c r="B5" s="2" t="inlineStr">
        <is>
          <t>Haz cada simulacro de una sentada, con tus prácticas de clase y tu solucionario abiertos, como en el examen real.</t>
        </is>
      </c>
    </row>
    <row r="6">
      <c r="B6" s="2" t="inlineStr">
        <is>
          <t>Escribe los resultados en las celdas amarillas: se corrigen solas. Haz los cálculos en la propia hoja.</t>
        </is>
      </c>
    </row>
    <row r="7">
      <c r="B7" s="2" t="inlineStr">
        <is>
          <t>Las proporciones puedes darlas en decimal (0,25) o en porcentaje (25).</t>
        </is>
      </c>
    </row>
    <row r="8"/>
    <row r="9">
      <c r="B9" s="3" t="inlineStr">
        <is>
          <t>Simulacro 1</t>
        </is>
      </c>
    </row>
    <row r="10">
      <c r="B10" s="4" t="inlineStr">
        <is>
          <t>Pregunta</t>
        </is>
      </c>
      <c r="C10" s="4" t="inlineStr">
        <is>
          <t>Aciertos</t>
        </is>
      </c>
      <c r="D10" s="4" t="inlineStr">
        <is>
          <t>Puntos</t>
        </is>
      </c>
    </row>
    <row r="11">
      <c r="B11" s="5" t="inlineStr">
        <is>
          <t>S1_P1</t>
        </is>
      </c>
      <c r="C11">
        <f>'S1_P1'!$F$2&amp;" de 12"</f>
        <v/>
      </c>
      <c r="D11" s="6">
        <f>ROUND('S1_P1'!$F$2/12*2,2)</f>
        <v/>
      </c>
    </row>
    <row r="12">
      <c r="B12" s="5" t="inlineStr">
        <is>
          <t>S1_P2</t>
        </is>
      </c>
      <c r="C12">
        <f>'S1_P2'!$F$2&amp;" de 8"</f>
        <v/>
      </c>
      <c r="D12" s="6">
        <f>ROUND('S1_P2'!$F$2/8*2,2)</f>
        <v/>
      </c>
    </row>
    <row r="13">
      <c r="B13" s="5" t="inlineStr">
        <is>
          <t>S1_P3</t>
        </is>
      </c>
      <c r="C13">
        <f>'S1_P3'!$F$2&amp;" de 7"</f>
        <v/>
      </c>
      <c r="D13" s="6">
        <f>ROUND('S1_P3'!$F$2/7*2,2)</f>
        <v/>
      </c>
    </row>
    <row r="14">
      <c r="B14" s="5" t="inlineStr">
        <is>
          <t>S1_P4</t>
        </is>
      </c>
      <c r="C14">
        <f>'S1_P4'!$F$2&amp;" de 9"</f>
        <v/>
      </c>
      <c r="D14" s="6">
        <f>ROUND('S1_P4'!$F$2/9*2,2)</f>
        <v/>
      </c>
    </row>
    <row r="15">
      <c r="B15" s="5" t="inlineStr">
        <is>
          <t>S1_P5</t>
        </is>
      </c>
      <c r="C15">
        <f>'S1_P5'!$F$2&amp;" de 6"</f>
        <v/>
      </c>
      <c r="D15" s="6">
        <f>ROUND('S1_P5'!$F$2/6*2,2)</f>
        <v/>
      </c>
    </row>
    <row r="16">
      <c r="C16" s="4" t="inlineStr">
        <is>
          <t>Nota (sobre 10)</t>
        </is>
      </c>
      <c r="D16" s="7">
        <f>D11+D12+D13+D14+D15</f>
        <v/>
      </c>
    </row>
    <row r="17"/>
    <row r="18">
      <c r="B18" s="3" t="inlineStr">
        <is>
          <t>Simulacro 2</t>
        </is>
      </c>
    </row>
    <row r="19">
      <c r="B19" s="4" t="inlineStr">
        <is>
          <t>Pregunta</t>
        </is>
      </c>
      <c r="C19" s="4" t="inlineStr">
        <is>
          <t>Aciertos</t>
        </is>
      </c>
      <c r="D19" s="4" t="inlineStr">
        <is>
          <t>Puntos</t>
        </is>
      </c>
    </row>
    <row r="20">
      <c r="B20" s="5" t="inlineStr">
        <is>
          <t>S2_P1</t>
        </is>
      </c>
      <c r="C20">
        <f>'S2_P1'!$F$2&amp;" de 11"</f>
        <v/>
      </c>
      <c r="D20" s="6">
        <f>ROUND('S2_P1'!$F$2/11*2,2)</f>
        <v/>
      </c>
    </row>
    <row r="21">
      <c r="B21" s="5" t="inlineStr">
        <is>
          <t>S2_P2</t>
        </is>
      </c>
      <c r="C21">
        <f>'S2_P2'!$F$2&amp;" de 8"</f>
        <v/>
      </c>
      <c r="D21" s="6">
        <f>ROUND('S2_P2'!$F$2/8*2,2)</f>
        <v/>
      </c>
    </row>
    <row r="22">
      <c r="B22" s="5" t="inlineStr">
        <is>
          <t>S2_P3</t>
        </is>
      </c>
      <c r="C22">
        <f>'S2_P3'!$F$2&amp;" de 9"</f>
        <v/>
      </c>
      <c r="D22" s="6">
        <f>ROUND('S2_P3'!$F$2/9*2,2)</f>
        <v/>
      </c>
    </row>
    <row r="23">
      <c r="B23" s="5" t="inlineStr">
        <is>
          <t>S2_P4</t>
        </is>
      </c>
      <c r="C23">
        <f>'S2_P4'!$F$2&amp;" de 9"</f>
        <v/>
      </c>
      <c r="D23" s="6">
        <f>ROUND('S2_P4'!$F$2/9*2,2)</f>
        <v/>
      </c>
    </row>
    <row r="24">
      <c r="B24" s="5" t="inlineStr">
        <is>
          <t>S2_P5</t>
        </is>
      </c>
      <c r="C24">
        <f>'S2_P5'!$F$2&amp;" de 2"</f>
        <v/>
      </c>
      <c r="D24" s="6">
        <f>ROUND('S2_P5'!$F$2/2*2,2)</f>
        <v/>
      </c>
    </row>
    <row r="25">
      <c r="C25" s="4" t="inlineStr">
        <is>
          <t>Nota (sobre 10)</t>
        </is>
      </c>
      <c r="D25" s="7">
        <f>D20+D21+D22+D23+D24</f>
        <v/>
      </c>
    </row>
  </sheetData>
  <hyperlinks>
    <hyperlink ref="B11" location="'S1_P1'!A1"/>
    <hyperlink ref="B12" location="'S1_P2'!A1"/>
    <hyperlink ref="B13" location="'S1_P3'!A1"/>
    <hyperlink ref="B14" location="'S1_P4'!A1"/>
    <hyperlink ref="B15" location="'S1_P5'!A1"/>
    <hyperlink ref="B20" location="'S2_P1'!A1"/>
    <hyperlink ref="B21" location="'S2_P2'!A1"/>
    <hyperlink ref="B22" location="'S2_P3'!A1"/>
    <hyperlink ref="B23" location="'S2_P4'!A1"/>
    <hyperlink ref="B24" location="'S2_P5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FD0"/>
    <outlinePr summaryBelow="1" summaryRight="1"/>
    <pageSetUpPr/>
  </sheetPr>
  <dimension ref="A1:K23"/>
  <sheetViews>
    <sheetView showGridLines="1" zoomScale="11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8" t="inlineStr">
        <is>
          <t>Simulacro 1 · Pregunta 1 (2 puntos)</t>
        </is>
      </c>
      <c r="B1" s="9" t="n"/>
      <c r="C1" s="9" t="n"/>
      <c r="D1" s="9" t="n"/>
      <c r="E1" s="9" t="n"/>
      <c r="F1" s="9" t="n"/>
      <c r="G1" s="9" t="n"/>
    </row>
    <row r="2">
      <c r="A2" s="10" t="inlineStr">
        <is>
          <t>Días de baja en el último año de 25 trabajadores</t>
        </is>
      </c>
      <c r="E2" s="4" t="inlineStr">
        <is>
          <t>Aciertos:</t>
        </is>
      </c>
      <c r="F2" s="11">
        <f>SUMPRODUCT(--(LEFT($C$1:$C$29,1)="✔"))</f>
        <v/>
      </c>
      <c r="G2" s="4" t="inlineStr">
        <is>
          <t>de 12</t>
        </is>
      </c>
    </row>
    <row r="3"/>
    <row r="4">
      <c r="A4" s="12" t="inlineStr">
        <is>
          <t>Celdas azules: datos.  Celdas amarillas: tu respuesta (se ponen verdes si está bien y rojas si no).</t>
        </is>
      </c>
    </row>
    <row r="5"/>
    <row r="6">
      <c r="A6" s="13" t="inlineStr">
        <is>
          <t>Días de baja en el último año de 25 trabajadores.</t>
        </is>
      </c>
    </row>
    <row r="7">
      <c r="A7" s="4" t="inlineStr">
        <is>
          <t>Datos</t>
        </is>
      </c>
      <c r="B7" s="14" t="n">
        <v>0</v>
      </c>
      <c r="C7" s="14" t="n">
        <v>2</v>
      </c>
      <c r="D7" s="14" t="n">
        <v>1</v>
      </c>
      <c r="E7" s="14" t="n">
        <v>0</v>
      </c>
      <c r="F7" s="14" t="n">
        <v>3</v>
      </c>
      <c r="G7" s="14" t="n">
        <v>1</v>
      </c>
      <c r="H7" s="14" t="n">
        <v>0</v>
      </c>
      <c r="I7" s="14" t="n">
        <v>0</v>
      </c>
      <c r="J7" s="14" t="n">
        <v>2</v>
      </c>
      <c r="K7" s="14" t="n">
        <v>5</v>
      </c>
    </row>
    <row r="8">
      <c r="B8" s="14" t="n">
        <v>1</v>
      </c>
      <c r="C8" s="14" t="n">
        <v>0</v>
      </c>
      <c r="D8" s="14" t="n">
        <v>1</v>
      </c>
      <c r="E8" s="14" t="n">
        <v>2</v>
      </c>
      <c r="F8" s="14" t="n">
        <v>0</v>
      </c>
      <c r="G8" s="14" t="n">
        <v>9</v>
      </c>
      <c r="H8" s="14" t="n">
        <v>1</v>
      </c>
      <c r="I8" s="14" t="n">
        <v>0</v>
      </c>
      <c r="J8" s="14" t="n">
        <v>3</v>
      </c>
      <c r="K8" s="14" t="n">
        <v>1</v>
      </c>
    </row>
    <row r="9">
      <c r="B9" s="14" t="n">
        <v>2</v>
      </c>
      <c r="C9" s="14" t="n">
        <v>0</v>
      </c>
      <c r="D9" s="14" t="n">
        <v>1</v>
      </c>
      <c r="E9" s="14" t="n">
        <v>4</v>
      </c>
      <c r="F9" s="14" t="n">
        <v>0</v>
      </c>
    </row>
    <row r="10"/>
    <row r="11">
      <c r="A11" s="15" t="inlineStr">
        <is>
          <t>Preguntas</t>
        </is>
      </c>
    </row>
    <row r="12">
      <c r="A12" s="16" t="inlineStr">
        <is>
          <t>Tamaño de la muestra (n)</t>
        </is>
      </c>
      <c r="B12" s="17" t="n"/>
      <c r="C12" s="16">
        <f>IF(B12="","",IF(AND(ISNUMBER(B12),ABS(B12-Claves!$A$1)&lt;=0.51),"✔ Bien",IF(NOT(ISNUMBER(B12)),"✘ Escribe solo el número (sin texto ni %).","✘ Revisa el cálculo.")))</f>
        <v/>
      </c>
    </row>
    <row r="13">
      <c r="A13" s="16" t="inlineStr">
        <is>
          <t>Media</t>
        </is>
      </c>
      <c r="B13" s="17" t="n"/>
      <c r="C13" s="16">
        <f>IF(B13="","",IF(AND(ISNUMBER(B13),ABS(B13-Claves!$A$2)&lt;=0.0051),"✔ Bien",IF(NOT(ISNUMBER(B13)),"✘ Escribe solo el número (sin texto ni %).",IF(ABS(B13-3.4285714285714284)&lt;=0.0051,"✘ Has hecho la media de los valores distintos. Cada valor cuenta tantas veces como se repite.","✘ Revisa el cálculo."))))</f>
        <v/>
      </c>
    </row>
    <row r="14">
      <c r="A14" s="16" t="inlineStr">
        <is>
          <t>Mediana</t>
        </is>
      </c>
      <c r="B14" s="17" t="n"/>
      <c r="C14" s="16">
        <f>IF(B14="","",IF(AND(ISNUMBER(B14),ABS(B14-Claves!$A$3)&lt;=0.0051),"✔ Bien",IF(NOT(ISNUMBER(B14)),"✘ Escribe solo el número (sin texto ni %).","✘ Revisa el cálculo.")))</f>
        <v/>
      </c>
    </row>
    <row r="15">
      <c r="A15" s="16" t="inlineStr">
        <is>
          <t>Moda</t>
        </is>
      </c>
      <c r="B15" s="17" t="n"/>
      <c r="C15" s="16">
        <f>IF(B15="","",IF(AND(ISNUMBER(B15),ABS(B15-Claves!$A$4)&lt;=0.51),"✔ Bien",IF(NOT(ISNUMBER(B15)),"✘ Escribe solo el número (sin texto ni %).",IF(ABS(B15-9)&lt;=0.51,"✘ Eso es la frecuencia más alta. La moda es el VALOR que tiene esa frecuencia.","✘ Revisa el cálculo."))))</f>
        <v/>
      </c>
    </row>
    <row r="16">
      <c r="A16" s="16" t="inlineStr">
        <is>
          <t>Primer cuartil (con CUARTIL.INC)</t>
        </is>
      </c>
      <c r="B16" s="17" t="n"/>
      <c r="C16" s="16">
        <f>IF(B16="","",IF(AND(ISNUMBER(B16),ABS(B16-Claves!$A$5)&lt;=0.0051),"✔ Bien",IF(NOT(ISNUMBER(B16)),"✘ Escribe solo el número (sin texto ni %).","✘ Revisa el cálculo.")))</f>
        <v/>
      </c>
    </row>
    <row r="17">
      <c r="A17" s="16" t="inlineStr">
        <is>
          <t>Tercer cuartil (con CUARTIL.INC)</t>
        </is>
      </c>
      <c r="B17" s="17" t="n"/>
      <c r="C17" s="16">
        <f>IF(B17="","",IF(AND(ISNUMBER(B17),ABS(B17-Claves!$A$6)&lt;=0.0051),"✔ Bien",IF(NOT(ISNUMBER(B17)),"✘ Escribe solo el número (sin texto ni %).","✘ Revisa el cálculo.")))</f>
        <v/>
      </c>
    </row>
    <row r="18">
      <c r="A18" s="16" t="inlineStr">
        <is>
          <t>Varianza S² (la de clase)</t>
        </is>
      </c>
      <c r="B18" s="17" t="n"/>
      <c r="C18" s="16">
        <f>IF(B18="","",IF(AND(ISNUMBER(B18),ABS(B18-Claves!$A$7)&lt;=0.0040864000000000004),"✔ Bien",IF(NOT(ISNUMBER(B18)),"✘ Escribe solo el número (sin texto ni %).",IF(ABS(B18-4.256666666666667)&lt;=0.004256666666666667,"✘ Has calculado la cuasivarianza (VAR.S). Aquí se pide VAR.P.",IF(ABS(B18-6.52)&lt;=0.00652,"✘ Te falta restar la media al cuadrado.","✘ Revisa el cálculo.")))))</f>
        <v/>
      </c>
    </row>
    <row r="19">
      <c r="A19" s="16" t="inlineStr">
        <is>
          <t>Cuasivarianza s²</t>
        </is>
      </c>
      <c r="B19" s="17" t="n"/>
      <c r="C19" s="16">
        <f>IF(B19="","",IF(AND(ISNUMBER(B19),ABS(B19-Claves!$A$8)&lt;=0.004256666666666667),"✔ Bien",IF(NOT(ISNUMBER(B19)),"✘ Escribe solo el número (sin texto ni %).",IF(ABS(B19-4.0864)&lt;=0.0040864000000000004,"✘ Esa es la varianza (VAR.P). La cuasivarianza es VAR.S.","✘ Revisa el cálculo."))))</f>
        <v/>
      </c>
    </row>
    <row r="20">
      <c r="A20" s="16" t="inlineStr">
        <is>
          <t>Desviación típica S</t>
        </is>
      </c>
      <c r="B20" s="17" t="n"/>
      <c r="C20" s="16">
        <f>IF(B20="","",IF(AND(ISNUMBER(B20),ABS(B20-Claves!$A$9)&lt;=0.0020214846029589246),"✔ Bien",IF(NOT(ISNUMBER(B20)),"✘ Escribe solo el número (sin texto ni %).",IF(ABS(B20-2.0631690833925043)&lt;=0.0020631690833925044,"✘ Has usado DESVEST.S. La desviación típica de clase es DESVEST.P.",IF(ABS(B20-4.0864)&lt;=0.0040864000000000004,"✘ Eso es la varianza. La desviación típica es su raíz.","✘ Revisa el cálculo.")))))</f>
        <v/>
      </c>
    </row>
    <row r="21">
      <c r="A21" s="16" t="inlineStr">
        <is>
          <t>Coeficiente de variación (en decimal)</t>
        </is>
      </c>
      <c r="B21" s="17" t="n"/>
      <c r="C21" s="16">
        <f>IF(B21="","",IF(AND(ISNUMBER(B21),OR(ABS(B21-Claves!$A$10)&lt;=0.0012958234634352082,ABS(B21/100-Claves!$A$10)&lt;=0.0012958234634352082)),"✔ Bien",IF(NOT(ISNUMBER(B21)),"✘ Escribe solo el número (sin texto ni %).",IF(OR(ABS(B21-1.3225442842259643)&lt;=0.0013225442842259643,ABS(B21/100-1.3225442842259643)&lt;=0.0013225442842259643),"✘ Usa DESVEST.P en el CV, no DESVEST.S.",IF(OR(ABS(B21-0.7717100579032697)&lt;=0.0007717100579032697,ABS(B21/100-0.7717100579032697)&lt;=0.0007717100579032697),"✘ Está al revés: CV = desviación típica ÷ media.","✘ Revisa el cálculo.")))))</f>
        <v/>
      </c>
    </row>
    <row r="22" ht="30" customHeight="1">
      <c r="A22" s="16" t="inlineStr">
        <is>
          <t>Proporción de empleados con más de 2 (en decimal o %)</t>
        </is>
      </c>
      <c r="B22" s="17" t="n"/>
      <c r="C22" s="16">
        <f>IF(B22="","",IF(AND(ISNUMBER(B22),OR(ABS(B22-Claves!$A$11)&lt;=0.00051,ABS(B22/100-Claves!$A$11)&lt;=0.00051)),"✔ Bien",IF(NOT(ISNUMBER(B22)),"✘ Escribe solo el número (sin texto ni %).",IF(OR(ABS(B22-0.36)&lt;=0.00051,ABS(B22/100-0.36)&lt;=0.00051),"✘ ""Más de 2"" no incluye el 2.",IF(OR(ABS(B22-5)&lt;=0.005,ABS(B22/100-5)&lt;=0.005),"✘ Eso es cuántos son. Piden la proporción: divide entre n.","✘ Revisa el cálculo.")))))</f>
        <v/>
      </c>
    </row>
    <row r="23" ht="30" customHeight="1">
      <c r="A23" s="16" t="inlineStr">
        <is>
          <t>¿Cuál es el único valor atípico? (límite superior C₃ + 1,5·IQR)</t>
        </is>
      </c>
      <c r="B23" s="17" t="n"/>
      <c r="C23" s="16">
        <f>IF(B23="","",IF(AND(ISNUMBER(B23),ABS(B23-Claves!$A$12)&lt;=0.51),"✔ Bien",IF(NOT(ISNUMBER(B23)),"✘ Escribe solo el número (sin texto ni %).",IF(ABS(B23-5)&lt;=0.51,"✘ Para ser atípico tiene que ser MAYOR que el límite (2 + 1,5·2 = 5). El 5 no lo es.","✘ Revisa el cálculo."))))</f>
        <v/>
      </c>
    </row>
  </sheetData>
  <mergeCells count="12">
    <mergeCell ref="C14:I14"/>
    <mergeCell ref="C23:I23"/>
    <mergeCell ref="C13:I13"/>
    <mergeCell ref="C22:I22"/>
    <mergeCell ref="C18:I18"/>
    <mergeCell ref="C17:I17"/>
    <mergeCell ref="C21:I21"/>
    <mergeCell ref="C20:I20"/>
    <mergeCell ref="C12:I12"/>
    <mergeCell ref="C16:I16"/>
    <mergeCell ref="C15:I15"/>
    <mergeCell ref="C19:I19"/>
  </mergeCells>
  <conditionalFormatting sqref="B12">
    <cfRule type="expression" priority="1" dxfId="0">
      <formula>LEFT($C12,1)="✔"</formula>
    </cfRule>
    <cfRule type="expression" priority="2" dxfId="1">
      <formula>LEFT($C12,1)="✘"</formula>
    </cfRule>
  </conditionalFormatting>
  <conditionalFormatting sqref="C12:I12">
    <cfRule type="expression" priority="3" dxfId="2">
      <formula>LEFT($C12,1)="✔"</formula>
    </cfRule>
    <cfRule type="expression" priority="4" dxfId="3">
      <formula>LEFT($C12,1)="✘"</formula>
    </cfRule>
  </conditionalFormatting>
  <conditionalFormatting sqref="B13">
    <cfRule type="expression" priority="5" dxfId="0">
      <formula>LEFT($C13,1)="✔"</formula>
    </cfRule>
    <cfRule type="expression" priority="6" dxfId="1">
      <formula>LEFT($C13,1)="✘"</formula>
    </cfRule>
  </conditionalFormatting>
  <conditionalFormatting sqref="C13:I13">
    <cfRule type="expression" priority="7" dxfId="2">
      <formula>LEFT($C13,1)="✔"</formula>
    </cfRule>
    <cfRule type="expression" priority="8" dxfId="3">
      <formula>LEFT($C13,1)="✘"</formula>
    </cfRule>
  </conditionalFormatting>
  <conditionalFormatting sqref="B14">
    <cfRule type="expression" priority="9" dxfId="0">
      <formula>LEFT($C14,1)="✔"</formula>
    </cfRule>
    <cfRule type="expression" priority="10" dxfId="1">
      <formula>LEFT($C14,1)="✘"</formula>
    </cfRule>
  </conditionalFormatting>
  <conditionalFormatting sqref="C14:I14">
    <cfRule type="expression" priority="11" dxfId="2">
      <formula>LEFT($C14,1)="✔"</formula>
    </cfRule>
    <cfRule type="expression" priority="12" dxfId="3">
      <formula>LEFT($C14,1)="✘"</formula>
    </cfRule>
  </conditionalFormatting>
  <conditionalFormatting sqref="B15">
    <cfRule type="expression" priority="13" dxfId="0">
      <formula>LEFT($C15,1)="✔"</formula>
    </cfRule>
    <cfRule type="expression" priority="14" dxfId="1">
      <formula>LEFT($C15,1)="✘"</formula>
    </cfRule>
  </conditionalFormatting>
  <conditionalFormatting sqref="C15:I15">
    <cfRule type="expression" priority="15" dxfId="2">
      <formula>LEFT($C15,1)="✔"</formula>
    </cfRule>
    <cfRule type="expression" priority="16" dxfId="3">
      <formula>LEFT($C15,1)="✘"</formula>
    </cfRule>
  </conditionalFormatting>
  <conditionalFormatting sqref="B16">
    <cfRule type="expression" priority="17" dxfId="0">
      <formula>LEFT($C16,1)="✔"</formula>
    </cfRule>
    <cfRule type="expression" priority="18" dxfId="1">
      <formula>LEFT($C16,1)="✘"</formula>
    </cfRule>
  </conditionalFormatting>
  <conditionalFormatting sqref="C16:I16">
    <cfRule type="expression" priority="19" dxfId="2">
      <formula>LEFT($C16,1)="✔"</formula>
    </cfRule>
    <cfRule type="expression" priority="20" dxfId="3">
      <formula>LEFT($C16,1)="✘"</formula>
    </cfRule>
  </conditionalFormatting>
  <conditionalFormatting sqref="B17">
    <cfRule type="expression" priority="21" dxfId="0">
      <formula>LEFT($C17,1)="✔"</formula>
    </cfRule>
    <cfRule type="expression" priority="22" dxfId="1">
      <formula>LEFT($C17,1)="✘"</formula>
    </cfRule>
  </conditionalFormatting>
  <conditionalFormatting sqref="C17:I17">
    <cfRule type="expression" priority="23" dxfId="2">
      <formula>LEFT($C17,1)="✔"</formula>
    </cfRule>
    <cfRule type="expression" priority="24" dxfId="3">
      <formula>LEFT($C17,1)="✘"</formula>
    </cfRule>
  </conditionalFormatting>
  <conditionalFormatting sqref="B18">
    <cfRule type="expression" priority="25" dxfId="0">
      <formula>LEFT($C18,1)="✔"</formula>
    </cfRule>
    <cfRule type="expression" priority="26" dxfId="1">
      <formula>LEFT($C18,1)="✘"</formula>
    </cfRule>
  </conditionalFormatting>
  <conditionalFormatting sqref="C18:I18">
    <cfRule type="expression" priority="27" dxfId="2">
      <formula>LEFT($C18,1)="✔"</formula>
    </cfRule>
    <cfRule type="expression" priority="28" dxfId="3">
      <formula>LEFT($C18,1)="✘"</formula>
    </cfRule>
  </conditionalFormatting>
  <conditionalFormatting sqref="B19">
    <cfRule type="expression" priority="29" dxfId="0">
      <formula>LEFT($C19,1)="✔"</formula>
    </cfRule>
    <cfRule type="expression" priority="30" dxfId="1">
      <formula>LEFT($C19,1)="✘"</formula>
    </cfRule>
  </conditionalFormatting>
  <conditionalFormatting sqref="C19:I19">
    <cfRule type="expression" priority="31" dxfId="2">
      <formula>LEFT($C19,1)="✔"</formula>
    </cfRule>
    <cfRule type="expression" priority="32" dxfId="3">
      <formula>LEFT($C19,1)="✘"</formula>
    </cfRule>
  </conditionalFormatting>
  <conditionalFormatting sqref="B20">
    <cfRule type="expression" priority="33" dxfId="0">
      <formula>LEFT($C20,1)="✔"</formula>
    </cfRule>
    <cfRule type="expression" priority="34" dxfId="1">
      <formula>LEFT($C20,1)="✘"</formula>
    </cfRule>
  </conditionalFormatting>
  <conditionalFormatting sqref="C20:I20">
    <cfRule type="expression" priority="35" dxfId="2">
      <formula>LEFT($C20,1)="✔"</formula>
    </cfRule>
    <cfRule type="expression" priority="36" dxfId="3">
      <formula>LEFT($C20,1)="✘"</formula>
    </cfRule>
  </conditionalFormatting>
  <conditionalFormatting sqref="B21">
    <cfRule type="expression" priority="37" dxfId="0">
      <formula>LEFT($C21,1)="✔"</formula>
    </cfRule>
    <cfRule type="expression" priority="38" dxfId="1">
      <formula>LEFT($C21,1)="✘"</formula>
    </cfRule>
  </conditionalFormatting>
  <conditionalFormatting sqref="C21:I21">
    <cfRule type="expression" priority="39" dxfId="2">
      <formula>LEFT($C21,1)="✔"</formula>
    </cfRule>
    <cfRule type="expression" priority="40" dxfId="3">
      <formula>LEFT($C21,1)="✘"</formula>
    </cfRule>
  </conditionalFormatting>
  <conditionalFormatting sqref="B22">
    <cfRule type="expression" priority="41" dxfId="0">
      <formula>LEFT($C22,1)="✔"</formula>
    </cfRule>
    <cfRule type="expression" priority="42" dxfId="1">
      <formula>LEFT($C22,1)="✘"</formula>
    </cfRule>
  </conditionalFormatting>
  <conditionalFormatting sqref="C22:I22">
    <cfRule type="expression" priority="43" dxfId="2">
      <formula>LEFT($C22,1)="✔"</formula>
    </cfRule>
    <cfRule type="expression" priority="44" dxfId="3">
      <formula>LEFT($C22,1)="✘"</formula>
    </cfRule>
  </conditionalFormatting>
  <conditionalFormatting sqref="B23">
    <cfRule type="expression" priority="45" dxfId="0">
      <formula>LEFT($C23,1)="✔"</formula>
    </cfRule>
    <cfRule type="expression" priority="46" dxfId="1">
      <formula>LEFT($C23,1)="✘"</formula>
    </cfRule>
  </conditionalFormatting>
  <conditionalFormatting sqref="C23:I23">
    <cfRule type="expression" priority="47" dxfId="2">
      <formula>LEFT($C23,1)="✔"</formula>
    </cfRule>
    <cfRule type="expression" priority="48" dxfId="3">
      <formula>LEFT($C23,1)="✘"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FD0"/>
    <outlinePr summaryBelow="1" summaryRight="1"/>
    <pageSetUpPr/>
  </sheetPr>
  <dimension ref="A1:I22"/>
  <sheetViews>
    <sheetView showGridLines="1" zoomScale="11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8" t="inlineStr">
        <is>
          <t>Simulacro 1 · Pregunta 2 (2 puntos)</t>
        </is>
      </c>
      <c r="B1" s="9" t="n"/>
      <c r="C1" s="9" t="n"/>
      <c r="D1" s="9" t="n"/>
      <c r="E1" s="9" t="n"/>
      <c r="F1" s="9" t="n"/>
      <c r="G1" s="9" t="n"/>
    </row>
    <row r="2">
      <c r="A2" s="10" t="inlineStr">
        <is>
          <t>Salario mensual de 110 empleados</t>
        </is>
      </c>
      <c r="E2" s="4" t="inlineStr">
        <is>
          <t>Aciertos:</t>
        </is>
      </c>
      <c r="F2" s="11">
        <f>SUMPRODUCT(--(LEFT($C$1:$C$28,1)="✔"))</f>
        <v/>
      </c>
      <c r="G2" s="4" t="inlineStr">
        <is>
          <t>de 8</t>
        </is>
      </c>
    </row>
    <row r="3"/>
    <row r="4">
      <c r="A4" s="12" t="inlineStr">
        <is>
          <t>Celdas azules: datos.  Celdas amarillas: tu respuesta (se ponen verdes si está bien y rojas si no).</t>
        </is>
      </c>
    </row>
    <row r="5"/>
    <row r="6">
      <c r="A6" s="13" t="inlineStr">
        <is>
          <t>Salario mensual (€) de 110 empleados.</t>
        </is>
      </c>
    </row>
    <row r="7">
      <c r="A7" s="18" t="inlineStr">
        <is>
          <t>Intervalo</t>
        </is>
      </c>
      <c r="B7" s="18" t="inlineStr">
        <is>
          <t>nᵢ</t>
        </is>
      </c>
    </row>
    <row r="8">
      <c r="A8" s="19" t="inlineStr">
        <is>
          <t>[900, 1200]</t>
        </is>
      </c>
      <c r="B8" s="14" t="n">
        <v>12</v>
      </c>
    </row>
    <row r="9">
      <c r="A9" s="19" t="inlineStr">
        <is>
          <t>(1200, 1500]</t>
        </is>
      </c>
      <c r="B9" s="14" t="n">
        <v>30</v>
      </c>
    </row>
    <row r="10">
      <c r="A10" s="19" t="inlineStr">
        <is>
          <t>(1500, 1800]</t>
        </is>
      </c>
      <c r="B10" s="14" t="n">
        <v>38</v>
      </c>
    </row>
    <row r="11">
      <c r="A11" s="19" t="inlineStr">
        <is>
          <t>(1800, 2400]</t>
        </is>
      </c>
      <c r="B11" s="14" t="n">
        <v>24</v>
      </c>
    </row>
    <row r="12">
      <c r="A12" s="19" t="inlineStr">
        <is>
          <t>(2400, 3600]</t>
        </is>
      </c>
      <c r="B12" s="14" t="n">
        <v>6</v>
      </c>
    </row>
    <row r="13"/>
    <row r="14">
      <c r="A14" s="15" t="inlineStr">
        <is>
          <t>Preguntas</t>
        </is>
      </c>
    </row>
    <row r="15">
      <c r="A15" s="16" t="inlineStr">
        <is>
          <t>n (total)</t>
        </is>
      </c>
      <c r="B15" s="17" t="n"/>
      <c r="C15" s="16">
        <f>IF(B15="","",IF(AND(ISNUMBER(B15),ABS(B15-Claves!$A$13)&lt;=0.51),"✔ Bien",IF(NOT(ISNUMBER(B15)),"✘ Escribe solo el número (sin texto ni %).","✘ Revisa el cálculo.")))</f>
        <v/>
      </c>
    </row>
    <row r="16">
      <c r="A16" s="16" t="inlineStr">
        <is>
          <t>Media</t>
        </is>
      </c>
      <c r="B16" s="17" t="n"/>
      <c r="C16" s="16">
        <f>IF(B16="","",IF(AND(ISNUMBER(B16),ABS(B16-Claves!$A$14)&lt;=1.6745454545454546),"✔ Bien",IF(NOT(ISNUMBER(B16)),"✘ Escribe solo el número (sin texto ni %).",IF(ABS(B16-1830)&lt;=1.83,"✘ Has promediado las marcas sin multiplicar por las frecuencias.","✘ Revisa el cálculo."))))</f>
        <v/>
      </c>
    </row>
    <row r="17">
      <c r="A17" s="16" t="inlineStr">
        <is>
          <t>Varianza S²</t>
        </is>
      </c>
      <c r="B17" s="17" t="n"/>
      <c r="C17" s="16">
        <f>IF(B17="","",IF(AND(ISNUMBER(B17),ABS(B17-Claves!$A$15)&lt;=206.80661157024792),"✔ Bien",IF(NOT(ISNUMBER(B17)),"✘ Escribe solo el número (sin texto ni %).",IF(ABS(B17-3010909.090909091)&lt;=3010.909090909091,"✘ Te falta restar la media al cuadrado.",IF(ABS(B17-208703.9199332777)&lt;=208.70391993327772,"✘ Esa es la cuasivarianza (divide entre n−1). Aquí se pide la varianza.","✘ Revisa el cálculo.")))))</f>
        <v/>
      </c>
    </row>
    <row r="18">
      <c r="A18" s="16" t="inlineStr">
        <is>
          <t>Desviación típica S</t>
        </is>
      </c>
      <c r="B18" s="17" t="n"/>
      <c r="C18" s="16">
        <f>IF(B18="","",IF(AND(ISNUMBER(B18),ABS(B18-Claves!$A$16)&lt;=0.45475994939115727),"✔ Bien",IF(NOT(ISNUMBER(B18)),"✘ Escribe solo el número (sin texto ni %).","✘ Revisa el cálculo.")))</f>
        <v/>
      </c>
    </row>
    <row r="19">
      <c r="A19" s="16" t="inlineStr">
        <is>
          <t>Coeficiente de variación (decimal)</t>
        </is>
      </c>
      <c r="B19" s="17" t="n"/>
      <c r="C19" s="16">
        <f>IF(B19="","",IF(AND(ISNUMBER(B19),OR(ABS(B19-Claves!$A$17)&lt;=0.00051,ABS(B19/100-Claves!$A$17)&lt;=0.00051)),"✔ Bien",IF(NOT(ISNUMBER(B19)),"✘ Escribe solo el número (sin texto ni %).","✘ Revisa el cálculo.")))</f>
        <v/>
      </c>
    </row>
    <row r="20">
      <c r="A20" s="16" t="inlineStr">
        <is>
          <t>Moda (fórmula de intervalos)</t>
        </is>
      </c>
      <c r="B20" s="17" t="n"/>
      <c r="C20" s="16">
        <f>IF(B20="","",IF(AND(ISNUMBER(B20),ABS(B20-Claves!$A$18)&lt;=1.5705882352941176),"✔ Bien",IF(NOT(ISNUMBER(B20)),"✘ Escribe solo el número (sin texto ni %).",IF(ABS(B20-1609.090909090909)&lt;=1.6090909090909091,"✘ Has usado las frecuencias. Con amplitudes distintas, el intervalo modal se elige por la DENSIDAD.","✘ Revisa el cálculo."))))</f>
        <v/>
      </c>
    </row>
    <row r="21">
      <c r="A21" s="16" t="inlineStr">
        <is>
          <t>Mediana</t>
        </is>
      </c>
      <c r="B21" s="17" t="n"/>
      <c r="C21" s="16">
        <f>IF(B21="","",IF(AND(ISNUMBER(B21),ABS(B21-Claves!$A$19)&lt;=1.6026315789473684),"✔ Bien",IF(NOT(ISNUMBER(B21)),"✘ Escribe solo el número (sin texto ni %).",IF(ABS(B21-1650)&lt;=1.6500000000000001,"✘ Eso es la marca del intervalo. Aplica la fórmula: Linf + (n/2 − Nᵢ₋₁)/nᵢ · aᵢ.","✘ Revisa el cálculo."))))</f>
        <v/>
      </c>
    </row>
    <row r="22" ht="30" customHeight="1">
      <c r="A22" s="16" t="inlineStr">
        <is>
          <t>¿A partir de qué valor se está en el 10 % con valores más altos?</t>
        </is>
      </c>
      <c r="B22" s="17" t="n"/>
      <c r="C22" s="16">
        <f>IF(B22="","",IF(AND(ISNUMBER(B22),ABS(B22-Claves!$A$20)&lt;=2.275),"✔ Bien",IF(NOT(ISNUMBER(B22)),"✘ Escribe solo el número (sin texto ni %).",IF(ABS(B22-1175)&lt;=1.175,"✘ Ese es el percentil 10. ""El 10 % de arriba"" empieza en el percentil 90.","✘ Revisa el cálculo."))))</f>
        <v/>
      </c>
    </row>
  </sheetData>
  <mergeCells count="8">
    <mergeCell ref="C22:I22"/>
    <mergeCell ref="C18:I18"/>
    <mergeCell ref="C17:I17"/>
    <mergeCell ref="C21:I21"/>
    <mergeCell ref="C20:I20"/>
    <mergeCell ref="C16:I16"/>
    <mergeCell ref="C15:I15"/>
    <mergeCell ref="C19:I19"/>
  </mergeCells>
  <conditionalFormatting sqref="B15">
    <cfRule type="expression" priority="1" dxfId="0">
      <formula>LEFT($C15,1)="✔"</formula>
    </cfRule>
    <cfRule type="expression" priority="2" dxfId="1">
      <formula>LEFT($C15,1)="✘"</formula>
    </cfRule>
  </conditionalFormatting>
  <conditionalFormatting sqref="C15:I15">
    <cfRule type="expression" priority="3" dxfId="2">
      <formula>LEFT($C15,1)="✔"</formula>
    </cfRule>
    <cfRule type="expression" priority="4" dxfId="3">
      <formula>LEFT($C15,1)="✘"</formula>
    </cfRule>
  </conditionalFormatting>
  <conditionalFormatting sqref="B16">
    <cfRule type="expression" priority="5" dxfId="0">
      <formula>LEFT($C16,1)="✔"</formula>
    </cfRule>
    <cfRule type="expression" priority="6" dxfId="1">
      <formula>LEFT($C16,1)="✘"</formula>
    </cfRule>
  </conditionalFormatting>
  <conditionalFormatting sqref="C16:I16">
    <cfRule type="expression" priority="7" dxfId="2">
      <formula>LEFT($C16,1)="✔"</formula>
    </cfRule>
    <cfRule type="expression" priority="8" dxfId="3">
      <formula>LEFT($C16,1)="✘"</formula>
    </cfRule>
  </conditionalFormatting>
  <conditionalFormatting sqref="B17">
    <cfRule type="expression" priority="9" dxfId="0">
      <formula>LEFT($C17,1)="✔"</formula>
    </cfRule>
    <cfRule type="expression" priority="10" dxfId="1">
      <formula>LEFT($C17,1)="✘"</formula>
    </cfRule>
  </conditionalFormatting>
  <conditionalFormatting sqref="C17:I17">
    <cfRule type="expression" priority="11" dxfId="2">
      <formula>LEFT($C17,1)="✔"</formula>
    </cfRule>
    <cfRule type="expression" priority="12" dxfId="3">
      <formula>LEFT($C17,1)="✘"</formula>
    </cfRule>
  </conditionalFormatting>
  <conditionalFormatting sqref="B18">
    <cfRule type="expression" priority="13" dxfId="0">
      <formula>LEFT($C18,1)="✔"</formula>
    </cfRule>
    <cfRule type="expression" priority="14" dxfId="1">
      <formula>LEFT($C18,1)="✘"</formula>
    </cfRule>
  </conditionalFormatting>
  <conditionalFormatting sqref="C18:I18">
    <cfRule type="expression" priority="15" dxfId="2">
      <formula>LEFT($C18,1)="✔"</formula>
    </cfRule>
    <cfRule type="expression" priority="16" dxfId="3">
      <formula>LEFT($C18,1)="✘"</formula>
    </cfRule>
  </conditionalFormatting>
  <conditionalFormatting sqref="B19">
    <cfRule type="expression" priority="17" dxfId="0">
      <formula>LEFT($C19,1)="✔"</formula>
    </cfRule>
    <cfRule type="expression" priority="18" dxfId="1">
      <formula>LEFT($C19,1)="✘"</formula>
    </cfRule>
  </conditionalFormatting>
  <conditionalFormatting sqref="C19:I19">
    <cfRule type="expression" priority="19" dxfId="2">
      <formula>LEFT($C19,1)="✔"</formula>
    </cfRule>
    <cfRule type="expression" priority="20" dxfId="3">
      <formula>LEFT($C19,1)="✘"</formula>
    </cfRule>
  </conditionalFormatting>
  <conditionalFormatting sqref="B20">
    <cfRule type="expression" priority="21" dxfId="0">
      <formula>LEFT($C20,1)="✔"</formula>
    </cfRule>
    <cfRule type="expression" priority="22" dxfId="1">
      <formula>LEFT($C20,1)="✘"</formula>
    </cfRule>
  </conditionalFormatting>
  <conditionalFormatting sqref="C20:I20">
    <cfRule type="expression" priority="23" dxfId="2">
      <formula>LEFT($C20,1)="✔"</formula>
    </cfRule>
    <cfRule type="expression" priority="24" dxfId="3">
      <formula>LEFT($C20,1)="✘"</formula>
    </cfRule>
  </conditionalFormatting>
  <conditionalFormatting sqref="B21">
    <cfRule type="expression" priority="25" dxfId="0">
      <formula>LEFT($C21,1)="✔"</formula>
    </cfRule>
    <cfRule type="expression" priority="26" dxfId="1">
      <formula>LEFT($C21,1)="✘"</formula>
    </cfRule>
  </conditionalFormatting>
  <conditionalFormatting sqref="C21:I21">
    <cfRule type="expression" priority="27" dxfId="2">
      <formula>LEFT($C21,1)="✔"</formula>
    </cfRule>
    <cfRule type="expression" priority="28" dxfId="3">
      <formula>LEFT($C21,1)="✘"</formula>
    </cfRule>
  </conditionalFormatting>
  <conditionalFormatting sqref="B22">
    <cfRule type="expression" priority="29" dxfId="0">
      <formula>LEFT($C22,1)="✔"</formula>
    </cfRule>
    <cfRule type="expression" priority="30" dxfId="1">
      <formula>LEFT($C22,1)="✘"</formula>
    </cfRule>
  </conditionalFormatting>
  <conditionalFormatting sqref="C22:I22">
    <cfRule type="expression" priority="31" dxfId="2">
      <formula>LEFT($C22,1)="✔"</formula>
    </cfRule>
    <cfRule type="expression" priority="32" dxfId="3">
      <formula>LEFT($C22,1)="✘"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8A68"/>
    <outlinePr summaryBelow="1" summaryRight="1"/>
    <pageSetUpPr/>
  </sheetPr>
  <dimension ref="A1:I19"/>
  <sheetViews>
    <sheetView showGridLines="1" zoomScale="11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20" t="inlineStr">
        <is>
          <t>Simulacro 1 · Pregunta 3 (2 puntos)</t>
        </is>
      </c>
      <c r="B1" s="21" t="n"/>
      <c r="C1" s="21" t="n"/>
      <c r="D1" s="21" t="n"/>
      <c r="E1" s="21" t="n"/>
      <c r="F1" s="21" t="n"/>
      <c r="G1" s="21" t="n"/>
    </row>
    <row r="2">
      <c r="A2" s="10" t="inlineStr">
        <is>
          <t>Turno y satisfacción</t>
        </is>
      </c>
      <c r="E2" s="4" t="inlineStr">
        <is>
          <t>Aciertos:</t>
        </is>
      </c>
      <c r="F2" s="11">
        <f>SUMPRODUCT(--(LEFT($C$1:$C$25,1)="✔"))</f>
        <v/>
      </c>
      <c r="G2" s="4" t="inlineStr">
        <is>
          <t>de 7</t>
        </is>
      </c>
    </row>
    <row r="3"/>
    <row r="4">
      <c r="A4" s="12" t="inlineStr">
        <is>
          <t>Celdas azules: datos.  Celdas amarillas: tu respuesta (se ponen verdes si está bien y rojas si no).</t>
        </is>
      </c>
    </row>
    <row r="5"/>
    <row r="6">
      <c r="A6" s="13" t="inlineStr">
        <is>
          <t>140 trabajadores según turno (filas) y satisfacción (columnas).</t>
        </is>
      </c>
    </row>
    <row r="7">
      <c r="A7" s="18" t="inlineStr">
        <is>
          <t>Turno \ Satisfacción</t>
        </is>
      </c>
      <c r="B7" s="18" t="inlineStr">
        <is>
          <t>Alta</t>
        </is>
      </c>
      <c r="C7" s="18" t="inlineStr">
        <is>
          <t>Media</t>
        </is>
      </c>
      <c r="D7" s="18" t="inlineStr">
        <is>
          <t>Baja</t>
        </is>
      </c>
    </row>
    <row r="8">
      <c r="A8" s="19" t="inlineStr">
        <is>
          <t>Mañana</t>
        </is>
      </c>
      <c r="B8" s="14" t="n">
        <v>18</v>
      </c>
      <c r="C8" s="14" t="n">
        <v>22</v>
      </c>
      <c r="D8" s="14" t="n">
        <v>10</v>
      </c>
    </row>
    <row r="9">
      <c r="A9" s="19" t="inlineStr">
        <is>
          <t>Tarde</t>
        </is>
      </c>
      <c r="B9" s="14" t="n">
        <v>12</v>
      </c>
      <c r="C9" s="14" t="n">
        <v>20</v>
      </c>
      <c r="D9" s="14" t="n">
        <v>18</v>
      </c>
    </row>
    <row r="10">
      <c r="A10" s="19" t="inlineStr">
        <is>
          <t>Noche</t>
        </is>
      </c>
      <c r="B10" s="14" t="n">
        <v>6</v>
      </c>
      <c r="C10" s="14" t="n">
        <v>10</v>
      </c>
      <c r="D10" s="14" t="n">
        <v>24</v>
      </c>
    </row>
    <row r="11"/>
    <row r="12">
      <c r="A12" s="22" t="inlineStr">
        <is>
          <t>Preguntas</t>
        </is>
      </c>
    </row>
    <row r="13">
      <c r="A13" s="16" t="inlineStr">
        <is>
          <t>n (total)</t>
        </is>
      </c>
      <c r="B13" s="17" t="n"/>
      <c r="C13" s="16">
        <f>IF(B13="","",IF(AND(ISNUMBER(B13),ABS(B13-Claves!$A$21)&lt;=0.51),"✔ Bien",IF(NOT(ISNUMBER(B13)),"✘ Escribe solo el número (sin texto ni %).","✘ Revisa el cálculo.")))</f>
        <v/>
      </c>
    </row>
    <row r="14">
      <c r="A14" s="16" t="inlineStr">
        <is>
          <t>Distribución marginal: total de "Media"</t>
        </is>
      </c>
      <c r="B14" s="17" t="n"/>
      <c r="C14" s="16">
        <f>IF(B14="","",IF(AND(ISNUMBER(B14),ABS(B14-Claves!$A$22)&lt;=0.51),"✔ Bien",IF(NOT(ISNUMBER(B14)),"✘ Escribe solo el número (sin texto ni %).","✘ Revisa el cálculo.")))</f>
        <v/>
      </c>
    </row>
    <row r="15">
      <c r="A15" s="16" t="inlineStr">
        <is>
          <t>f₁₁ (proporción de Mañana y Alta, en decimal)</t>
        </is>
      </c>
      <c r="B15" s="17" t="n"/>
      <c r="C15" s="16">
        <f>IF(B15="","",IF(AND(ISNUMBER(B15),OR(ABS(B15-Claves!$A$23)&lt;=0.00051,ABS(B15/100-Claves!$A$23)&lt;=0.00051)),"✔ Bien",IF(NOT(ISNUMBER(B15)),"✘ Escribe solo el número (sin texto ni %).","✘ Revisa el cálculo.")))</f>
        <v/>
      </c>
    </row>
    <row r="16" ht="30" customHeight="1">
      <c r="A16" s="16" t="inlineStr">
        <is>
          <t>f₁. × f.₁ (lo que habría si fueran independientes)</t>
        </is>
      </c>
      <c r="B16" s="17" t="n"/>
      <c r="C16" s="16">
        <f>IF(B16="","",IF(AND(ISNUMBER(B16),OR(ABS(B16-Claves!$A$24)&lt;=0.00051,ABS(B16/100-Claves!$A$24)&lt;=0.00051)),"✔ Bien",IF(NOT(ISNUMBER(B16)),"✘ Escribe solo el número (sin texto ni %).","✘ Revisa el cálculo.")))</f>
        <v/>
      </c>
    </row>
    <row r="17" ht="30" customHeight="1">
      <c r="A17" s="16" t="inlineStr">
        <is>
          <t>De los de Noche, ¿qué proporción es "Baja"? (Satisfacción | Turno = Noche)</t>
        </is>
      </c>
      <c r="B17" s="17" t="n"/>
      <c r="C17" s="16">
        <f>IF(B17="","",IF(AND(ISNUMBER(B17),OR(ABS(B17-Claves!$A$25)&lt;=0.0006,ABS(B17/100-Claves!$A$25)&lt;=0.0006)),"✔ Bien",IF(NOT(ISNUMBER(B17)),"✘ Escribe solo el número (sin texto ni %).",IF(OR(ABS(B17-0.17142857142857143)&lt;=0.00051,ABS(B17/100-0.17142857142857143)&lt;=0.00051),"✘ En una condicionada se divide entre el total de la FILA, no entre n.",IF(OR(ABS(B17-0.46153846153846156)&lt;=0.00051,ABS(B17/100-0.46153846153846156)&lt;=0.00051),"✘ Eso es Turno | Satisfacción: has dividido entre el total de la columna.","✘ Revisa el cálculo.")))))</f>
        <v/>
      </c>
    </row>
    <row r="18" ht="30" customHeight="1">
      <c r="A18" s="16" t="inlineStr">
        <is>
          <t>De los "Alta", ¿qué proporción es de Tarde? (Turno | Satisfacción = Alta)</t>
        </is>
      </c>
      <c r="B18" s="17" t="n"/>
      <c r="C18" s="16">
        <f>IF(B18="","",IF(AND(ISNUMBER(B18),OR(ABS(B18-Claves!$A$26)&lt;=0.00051,ABS(B18/100-Claves!$A$26)&lt;=0.00051)),"✔ Bien",IF(NOT(ISNUMBER(B18)),"✘ Escribe solo el número (sin texto ni %).",IF(OR(ABS(B18-0.24)&lt;=0.00051,ABS(B18/100-0.24)&lt;=0.00051),"✘ Eso es la condicionada por fila. Aquí te restringes a la COLUMNA.",IF(OR(ABS(B18-0.08571428571428572)&lt;=0.00051,ABS(B18/100-0.08571428571428572)&lt;=0.00051),"✘ Divide entre el total de la columna, no entre n.","✘ Revisa el cálculo.")))))</f>
        <v/>
      </c>
    </row>
    <row r="19">
      <c r="A19" s="16" t="inlineStr">
        <is>
          <t>¿Son independientes? (Sí / No)</t>
        </is>
      </c>
      <c r="B19" s="17" t="n"/>
      <c r="C19" s="16">
        <f>IF(B19="","",IF(OR(UPPER(TRIM(B19))="NO"),"✔ Bien",IF(UPPER(TRIM(B19))="SI","✘ Compara fᵢⱼ con fᵢ.×f.ⱼ en todas las casillas (o los % de cada fila).",IF(UPPER(TRIM(B19))="SÍ","✘ Compara fᵢⱼ con fᵢ.×f.ⱼ en todas las casillas (o los % de cada fila).","✘ Revisa la respuesta."))))</f>
        <v/>
      </c>
    </row>
  </sheetData>
  <mergeCells count="7">
    <mergeCell ref="C14:I14"/>
    <mergeCell ref="C13:I13"/>
    <mergeCell ref="C18:I18"/>
    <mergeCell ref="C17:I17"/>
    <mergeCell ref="C16:I16"/>
    <mergeCell ref="C15:I15"/>
    <mergeCell ref="C19:I19"/>
  </mergeCells>
  <conditionalFormatting sqref="B13">
    <cfRule type="expression" priority="1" dxfId="0">
      <formula>LEFT($C13,1)="✔"</formula>
    </cfRule>
    <cfRule type="expression" priority="2" dxfId="1">
      <formula>LEFT($C13,1)="✘"</formula>
    </cfRule>
  </conditionalFormatting>
  <conditionalFormatting sqref="C13:I13">
    <cfRule type="expression" priority="3" dxfId="2">
      <formula>LEFT($C13,1)="✔"</formula>
    </cfRule>
    <cfRule type="expression" priority="4" dxfId="3">
      <formula>LEFT($C13,1)="✘"</formula>
    </cfRule>
  </conditionalFormatting>
  <conditionalFormatting sqref="B14">
    <cfRule type="expression" priority="5" dxfId="0">
      <formula>LEFT($C14,1)="✔"</formula>
    </cfRule>
    <cfRule type="expression" priority="6" dxfId="1">
      <formula>LEFT($C14,1)="✘"</formula>
    </cfRule>
  </conditionalFormatting>
  <conditionalFormatting sqref="C14:I14">
    <cfRule type="expression" priority="7" dxfId="2">
      <formula>LEFT($C14,1)="✔"</formula>
    </cfRule>
    <cfRule type="expression" priority="8" dxfId="3">
      <formula>LEFT($C14,1)="✘"</formula>
    </cfRule>
  </conditionalFormatting>
  <conditionalFormatting sqref="B15">
    <cfRule type="expression" priority="9" dxfId="0">
      <formula>LEFT($C15,1)="✔"</formula>
    </cfRule>
    <cfRule type="expression" priority="10" dxfId="1">
      <formula>LEFT($C15,1)="✘"</formula>
    </cfRule>
  </conditionalFormatting>
  <conditionalFormatting sqref="C15:I15">
    <cfRule type="expression" priority="11" dxfId="2">
      <formula>LEFT($C15,1)="✔"</formula>
    </cfRule>
    <cfRule type="expression" priority="12" dxfId="3">
      <formula>LEFT($C15,1)="✘"</formula>
    </cfRule>
  </conditionalFormatting>
  <conditionalFormatting sqref="B16">
    <cfRule type="expression" priority="13" dxfId="0">
      <formula>LEFT($C16,1)="✔"</formula>
    </cfRule>
    <cfRule type="expression" priority="14" dxfId="1">
      <formula>LEFT($C16,1)="✘"</formula>
    </cfRule>
  </conditionalFormatting>
  <conditionalFormatting sqref="C16:I16">
    <cfRule type="expression" priority="15" dxfId="2">
      <formula>LEFT($C16,1)="✔"</formula>
    </cfRule>
    <cfRule type="expression" priority="16" dxfId="3">
      <formula>LEFT($C16,1)="✘"</formula>
    </cfRule>
  </conditionalFormatting>
  <conditionalFormatting sqref="B17">
    <cfRule type="expression" priority="17" dxfId="0">
      <formula>LEFT($C17,1)="✔"</formula>
    </cfRule>
    <cfRule type="expression" priority="18" dxfId="1">
      <formula>LEFT($C17,1)="✘"</formula>
    </cfRule>
  </conditionalFormatting>
  <conditionalFormatting sqref="C17:I17">
    <cfRule type="expression" priority="19" dxfId="2">
      <formula>LEFT($C17,1)="✔"</formula>
    </cfRule>
    <cfRule type="expression" priority="20" dxfId="3">
      <formula>LEFT($C17,1)="✘"</formula>
    </cfRule>
  </conditionalFormatting>
  <conditionalFormatting sqref="B18">
    <cfRule type="expression" priority="21" dxfId="0">
      <formula>LEFT($C18,1)="✔"</formula>
    </cfRule>
    <cfRule type="expression" priority="22" dxfId="1">
      <formula>LEFT($C18,1)="✘"</formula>
    </cfRule>
  </conditionalFormatting>
  <conditionalFormatting sqref="C18:I18">
    <cfRule type="expression" priority="23" dxfId="2">
      <formula>LEFT($C18,1)="✔"</formula>
    </cfRule>
    <cfRule type="expression" priority="24" dxfId="3">
      <formula>LEFT($C18,1)="✘"</formula>
    </cfRule>
  </conditionalFormatting>
  <conditionalFormatting sqref="B19">
    <cfRule type="expression" priority="25" dxfId="0">
      <formula>LEFT($C19,1)="✔"</formula>
    </cfRule>
    <cfRule type="expression" priority="26" dxfId="1">
      <formula>LEFT($C19,1)="✘"</formula>
    </cfRule>
  </conditionalFormatting>
  <conditionalFormatting sqref="C19:I19">
    <cfRule type="expression" priority="27" dxfId="2">
      <formula>LEFT($C19,1)="✔"</formula>
    </cfRule>
    <cfRule type="expression" priority="28" dxfId="3">
      <formula>LEFT($C19,1)="✘"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2185B"/>
    <outlinePr summaryBelow="1" summaryRight="1"/>
    <pageSetUpPr/>
  </sheetPr>
  <dimension ref="A1:I26"/>
  <sheetViews>
    <sheetView showGridLines="1" zoomScale="11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23" t="inlineStr">
        <is>
          <t>Simulacro 1 · Pregunta 4 (2 puntos)</t>
        </is>
      </c>
      <c r="B1" s="24" t="n"/>
      <c r="C1" s="24" t="n"/>
      <c r="D1" s="24" t="n"/>
      <c r="E1" s="24" t="n"/>
      <c r="F1" s="24" t="n"/>
      <c r="G1" s="24" t="n"/>
    </row>
    <row r="2">
      <c r="A2" s="10" t="inlineStr">
        <is>
          <t>Formación y productividad</t>
        </is>
      </c>
      <c r="E2" s="4" t="inlineStr">
        <is>
          <t>Aciertos:</t>
        </is>
      </c>
      <c r="F2" s="11">
        <f>SUMPRODUCT(--(LEFT($C$1:$C$32,1)="✔"))</f>
        <v/>
      </c>
      <c r="G2" s="4" t="inlineStr">
        <is>
          <t>de 9</t>
        </is>
      </c>
    </row>
    <row r="3"/>
    <row r="4">
      <c r="A4" s="12" t="inlineStr">
        <is>
          <t>Celdas azules: datos.  Celdas amarillas: tu respuesta (se ponen verdes si está bien y rojas si no).</t>
        </is>
      </c>
    </row>
    <row r="5"/>
    <row r="6">
      <c r="A6" s="13" t="inlineStr">
        <is>
          <t>Horas de formación (X) y Productividad en puntos (Y) de 8 casos.</t>
        </is>
      </c>
    </row>
    <row r="7">
      <c r="A7" s="18" t="inlineStr">
        <is>
          <t>X</t>
        </is>
      </c>
      <c r="B7" s="18" t="inlineStr">
        <is>
          <t>Y</t>
        </is>
      </c>
    </row>
    <row r="8">
      <c r="A8" s="14" t="n">
        <v>5</v>
      </c>
      <c r="B8" s="14" t="n">
        <v>62</v>
      </c>
    </row>
    <row r="9">
      <c r="A9" s="14" t="n">
        <v>8</v>
      </c>
      <c r="B9" s="14" t="n">
        <v>65</v>
      </c>
    </row>
    <row r="10">
      <c r="A10" s="14" t="n">
        <v>10</v>
      </c>
      <c r="B10" s="14" t="n">
        <v>70</v>
      </c>
    </row>
    <row r="11">
      <c r="A11" s="14" t="n">
        <v>12</v>
      </c>
      <c r="B11" s="14" t="n">
        <v>71</v>
      </c>
    </row>
    <row r="12">
      <c r="A12" s="14" t="n">
        <v>15</v>
      </c>
      <c r="B12" s="14" t="n">
        <v>76</v>
      </c>
    </row>
    <row r="13">
      <c r="A13" s="14" t="n">
        <v>18</v>
      </c>
      <c r="B13" s="14" t="n">
        <v>80</v>
      </c>
    </row>
    <row r="14">
      <c r="A14" s="14" t="n">
        <v>20</v>
      </c>
      <c r="B14" s="14" t="n">
        <v>79</v>
      </c>
    </row>
    <row r="15">
      <c r="A15" s="14" t="n">
        <v>25</v>
      </c>
      <c r="B15" s="14" t="n">
        <v>88</v>
      </c>
    </row>
    <row r="16"/>
    <row r="17">
      <c r="A17" s="25" t="inlineStr">
        <is>
          <t>Preguntas</t>
        </is>
      </c>
    </row>
    <row r="18">
      <c r="A18" s="16" t="inlineStr">
        <is>
          <t>Media de X</t>
        </is>
      </c>
      <c r="B18" s="17" t="n"/>
      <c r="C18" s="16">
        <f>IF(B18="","",IF(AND(ISNUMBER(B18),ABS(B18-Claves!$A$28)&lt;=0.014125),"✔ Bien",IF(NOT(ISNUMBER(B18)),"✘ Escribe solo el número (sin texto ni %).","✘ Revisa el cálculo.")))</f>
        <v/>
      </c>
    </row>
    <row r="19">
      <c r="A19" s="16" t="inlineStr">
        <is>
          <t>Media de Y</t>
        </is>
      </c>
      <c r="B19" s="17" t="n"/>
      <c r="C19" s="16">
        <f>IF(B19="","",IF(AND(ISNUMBER(B19),ABS(B19-Claves!$A$29)&lt;=0.073875),"✔ Bien",IF(NOT(ISNUMBER(B19)),"✘ Escribe solo el número (sin texto ni %).","✘ Revisa el cálculo.")))</f>
        <v/>
      </c>
    </row>
    <row r="20">
      <c r="A20" s="16" t="inlineStr">
        <is>
          <t>Covarianza</t>
        </is>
      </c>
      <c r="B20" s="17" t="n"/>
      <c r="C20" s="16">
        <f>IF(B20="","",IF(AND(ISNUMBER(B20),ABS(B20-Claves!$A$30)&lt;=0.049265625),"✔ Bien",IF(NOT(ISNUMBER(B20)),"✘ Escribe solo el número (sin texto ni %).",IF(ABS(B20-56.30357142857143)&lt;=0.05630357142857143,"✘ Has usado COVARIANZA.M (divide entre n−1). En clase se usa COVARIANZA.P.","✘ Revisa el cálculo."))))</f>
        <v/>
      </c>
    </row>
    <row r="21">
      <c r="A21" s="16" t="inlineStr">
        <is>
          <t>Pendiente b (recta de Y sobre X)</t>
        </is>
      </c>
      <c r="B21" s="17" t="n"/>
      <c r="C21" s="16">
        <f>IF(B21="","",IF(AND(ISNUMBER(B21),ABS(B21-Claves!$A$31)&lt;=0.0012677925211097708),"✔ Bien",IF(NOT(ISNUMBER(B21)),"✘ Escribe solo el número (sin texto ni %).",IF(ABS(B21-0.7714705162711035)&lt;=0.0007714705162711036,"✘ Esa es la pendiente de X sobre Y. En PENDIENTE va primero la Y: =PENDIENTE(Y;X).",IF(ABS(B21-7.903074776490386)&lt;=0.007903074776490385,"✘ b = Sxy / Sx² (la VARIANZA de X, no la desviación).","✘ Revisa el cálculo.")))))</f>
        <v/>
      </c>
    </row>
    <row r="22">
      <c r="A22" s="16" t="inlineStr">
        <is>
          <t>Término independiente a</t>
        </is>
      </c>
      <c r="B22" s="17" t="n"/>
      <c r="C22" s="16">
        <f>IF(B22="","",IF(AND(ISNUMBER(B22),ABS(B22-Claves!$A$32)&lt;=0.055967430639324495),"✔ Bien",IF(NOT(ISNUMBER(B22)),"✘ Escribe solo el número (sin texto ni %).",IF(ABS(B22--42.86738438952777)&lt;=0.04286738438952777,"✘ Ese es el de la recta de X sobre Y. Usa =INTERSECCION.EJE(Y;X).","✘ Revisa el cálculo."))))</f>
        <v/>
      </c>
    </row>
    <row r="23">
      <c r="A23" s="16" t="inlineStr">
        <is>
          <t>Coeficiente de correlación r</t>
        </is>
      </c>
      <c r="B23" s="17" t="n"/>
      <c r="C23" s="16">
        <f>IF(B23="","",IF(AND(ISNUMBER(B23),ABS(B23-Claves!$A$33)&lt;=0.0009889714610569907),"✔ Bien",IF(NOT(ISNUMBER(B23)),"✘ Escribe solo el número (sin texto ni %).",IF(ABS(B23-0.9780645507851989)&lt;=0.000978064550785199,"✘ Eso es R². r es la raíz (con el signo de b).","✘ Revisa el cálculo."))))</f>
        <v/>
      </c>
    </row>
    <row r="24">
      <c r="A24" s="16" t="inlineStr">
        <is>
          <t>Coeficiente de determinación R² (decimal)</t>
        </is>
      </c>
      <c r="B24" s="17" t="n"/>
      <c r="C24" s="16">
        <f>IF(B24="","",IF(AND(ISNUMBER(B24),OR(ABS(B24-Claves!$A$34)&lt;=0.000978064550785199,ABS(B24/100-Claves!$A$34)&lt;=0.000978064550785199)),"✔ Bien",IF(NOT(ISNUMBER(B24)),"✘ Escribe solo el número (sin texto ni %).",IF(OR(ABS(B24-0.9889714610569907)&lt;=0.0009889714610569907,ABS(B24/100-0.9889714610569907)&lt;=0.0009889714610569907),"✘ Eso es r. R² es r al cuadrado.","✘ Revisa el cálculo."))))</f>
        <v/>
      </c>
    </row>
    <row r="25">
      <c r="A25" s="16" t="inlineStr">
        <is>
          <t>Predicción de Y para X = 22</t>
        </is>
      </c>
      <c r="B25" s="17" t="n"/>
      <c r="C25" s="16">
        <f>IF(B25="","",IF(AND(ISNUMBER(B25),ABS(B25-Claves!$A$35)&lt;=0.08385886610373945),"✔ Bien",IF(NOT(ISNUMBER(B25)),"✘ Escribe solo el número (sin texto ni %).",IF(ABS(B25--25.895033031563493)&lt;=0.025895033031563493,"✘ Has usado la recta de X sobre Y.","✘ Revisa el cálculo."))))</f>
        <v/>
      </c>
    </row>
    <row r="26" ht="30" customHeight="1">
      <c r="A26" s="16" t="inlineStr">
        <is>
          <t>% de la variabilidad de Y que NO explica la recta</t>
        </is>
      </c>
      <c r="B26" s="17" t="n"/>
      <c r="C26" s="16">
        <f>IF(B26="","",IF(AND(ISNUMBER(B26),OR(ABS(B26-Claves!$A$36)&lt;=0.00051,ABS(B26/100-Claves!$A$36)&lt;=0.00051)),"✔ Bien",IF(NOT(ISNUMBER(B26)),"✘ Escribe solo el número (sin texto ni %).",IF(OR(ABS(B26-0.9780645507851989)&lt;=0.000978064550785199,ABS(B26/100-0.9780645507851989)&lt;=0.000978064550785199),"✘ Ese es el % que SÍ explica (R²). El no explicado es 1 − R².","✘ Revisa el cálculo."))))</f>
        <v/>
      </c>
    </row>
  </sheetData>
  <mergeCells count="9">
    <mergeCell ref="C23:I23"/>
    <mergeCell ref="C22:I22"/>
    <mergeCell ref="C18:I18"/>
    <mergeCell ref="C26:I26"/>
    <mergeCell ref="C21:I21"/>
    <mergeCell ref="C20:I20"/>
    <mergeCell ref="C24:I24"/>
    <mergeCell ref="C25:I25"/>
    <mergeCell ref="C19:I19"/>
  </mergeCells>
  <conditionalFormatting sqref="B18">
    <cfRule type="expression" priority="1" dxfId="0">
      <formula>LEFT($C18,1)="✔"</formula>
    </cfRule>
    <cfRule type="expression" priority="2" dxfId="1">
      <formula>LEFT($C18,1)="✘"</formula>
    </cfRule>
  </conditionalFormatting>
  <conditionalFormatting sqref="C18:I18">
    <cfRule type="expression" priority="3" dxfId="2">
      <formula>LEFT($C18,1)="✔"</formula>
    </cfRule>
    <cfRule type="expression" priority="4" dxfId="3">
      <formula>LEFT($C18,1)="✘"</formula>
    </cfRule>
  </conditionalFormatting>
  <conditionalFormatting sqref="B19">
    <cfRule type="expression" priority="5" dxfId="0">
      <formula>LEFT($C19,1)="✔"</formula>
    </cfRule>
    <cfRule type="expression" priority="6" dxfId="1">
      <formula>LEFT($C19,1)="✘"</formula>
    </cfRule>
  </conditionalFormatting>
  <conditionalFormatting sqref="C19:I19">
    <cfRule type="expression" priority="7" dxfId="2">
      <formula>LEFT($C19,1)="✔"</formula>
    </cfRule>
    <cfRule type="expression" priority="8" dxfId="3">
      <formula>LEFT($C19,1)="✘"</formula>
    </cfRule>
  </conditionalFormatting>
  <conditionalFormatting sqref="B20">
    <cfRule type="expression" priority="9" dxfId="0">
      <formula>LEFT($C20,1)="✔"</formula>
    </cfRule>
    <cfRule type="expression" priority="10" dxfId="1">
      <formula>LEFT($C20,1)="✘"</formula>
    </cfRule>
  </conditionalFormatting>
  <conditionalFormatting sqref="C20:I20">
    <cfRule type="expression" priority="11" dxfId="2">
      <formula>LEFT($C20,1)="✔"</formula>
    </cfRule>
    <cfRule type="expression" priority="12" dxfId="3">
      <formula>LEFT($C20,1)="✘"</formula>
    </cfRule>
  </conditionalFormatting>
  <conditionalFormatting sqref="B21">
    <cfRule type="expression" priority="13" dxfId="0">
      <formula>LEFT($C21,1)="✔"</formula>
    </cfRule>
    <cfRule type="expression" priority="14" dxfId="1">
      <formula>LEFT($C21,1)="✘"</formula>
    </cfRule>
  </conditionalFormatting>
  <conditionalFormatting sqref="C21:I21">
    <cfRule type="expression" priority="15" dxfId="2">
      <formula>LEFT($C21,1)="✔"</formula>
    </cfRule>
    <cfRule type="expression" priority="16" dxfId="3">
      <formula>LEFT($C21,1)="✘"</formula>
    </cfRule>
  </conditionalFormatting>
  <conditionalFormatting sqref="B22">
    <cfRule type="expression" priority="17" dxfId="0">
      <formula>LEFT($C22,1)="✔"</formula>
    </cfRule>
    <cfRule type="expression" priority="18" dxfId="1">
      <formula>LEFT($C22,1)="✘"</formula>
    </cfRule>
  </conditionalFormatting>
  <conditionalFormatting sqref="C22:I22">
    <cfRule type="expression" priority="19" dxfId="2">
      <formula>LEFT($C22,1)="✔"</formula>
    </cfRule>
    <cfRule type="expression" priority="20" dxfId="3">
      <formula>LEFT($C22,1)="✘"</formula>
    </cfRule>
  </conditionalFormatting>
  <conditionalFormatting sqref="B23">
    <cfRule type="expression" priority="21" dxfId="0">
      <formula>LEFT($C23,1)="✔"</formula>
    </cfRule>
    <cfRule type="expression" priority="22" dxfId="1">
      <formula>LEFT($C23,1)="✘"</formula>
    </cfRule>
  </conditionalFormatting>
  <conditionalFormatting sqref="C23:I23">
    <cfRule type="expression" priority="23" dxfId="2">
      <formula>LEFT($C23,1)="✔"</formula>
    </cfRule>
    <cfRule type="expression" priority="24" dxfId="3">
      <formula>LEFT($C23,1)="✘"</formula>
    </cfRule>
  </conditionalFormatting>
  <conditionalFormatting sqref="B24">
    <cfRule type="expression" priority="25" dxfId="0">
      <formula>LEFT($C24,1)="✔"</formula>
    </cfRule>
    <cfRule type="expression" priority="26" dxfId="1">
      <formula>LEFT($C24,1)="✘"</formula>
    </cfRule>
  </conditionalFormatting>
  <conditionalFormatting sqref="C24:I24">
    <cfRule type="expression" priority="27" dxfId="2">
      <formula>LEFT($C24,1)="✔"</formula>
    </cfRule>
    <cfRule type="expression" priority="28" dxfId="3">
      <formula>LEFT($C24,1)="✘"</formula>
    </cfRule>
  </conditionalFormatting>
  <conditionalFormatting sqref="B25">
    <cfRule type="expression" priority="29" dxfId="0">
      <formula>LEFT($C25,1)="✔"</formula>
    </cfRule>
    <cfRule type="expression" priority="30" dxfId="1">
      <formula>LEFT($C25,1)="✘"</formula>
    </cfRule>
  </conditionalFormatting>
  <conditionalFormatting sqref="C25:I25">
    <cfRule type="expression" priority="31" dxfId="2">
      <formula>LEFT($C25,1)="✔"</formula>
    </cfRule>
    <cfRule type="expression" priority="32" dxfId="3">
      <formula>LEFT($C25,1)="✘"</formula>
    </cfRule>
  </conditionalFormatting>
  <conditionalFormatting sqref="B26">
    <cfRule type="expression" priority="33" dxfId="0">
      <formula>LEFT($C26,1)="✔"</formula>
    </cfRule>
    <cfRule type="expression" priority="34" dxfId="1">
      <formula>LEFT($C26,1)="✘"</formula>
    </cfRule>
  </conditionalFormatting>
  <conditionalFormatting sqref="C26:I26">
    <cfRule type="expression" priority="35" dxfId="2">
      <formula>LEFT($C26,1)="✔"</formula>
    </cfRule>
    <cfRule type="expression" priority="36" dxfId="3">
      <formula>LEFT($C26,1)="✘"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86F00"/>
    <outlinePr summaryBelow="1" summaryRight="1"/>
    <pageSetUpPr/>
  </sheetPr>
  <dimension ref="A1:I26"/>
  <sheetViews>
    <sheetView showGridLines="1" zoomScale="11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26" t="inlineStr">
        <is>
          <t>Simulacro 1 · Pregunta 5 (2 puntos)</t>
        </is>
      </c>
      <c r="B1" s="27" t="n"/>
      <c r="C1" s="27" t="n"/>
      <c r="D1" s="27" t="n"/>
      <c r="E1" s="27" t="n"/>
      <c r="F1" s="27" t="n"/>
      <c r="G1" s="27" t="n"/>
    </row>
    <row r="2">
      <c r="A2" s="10" t="inlineStr">
        <is>
          <t>Cesta de la compra y salario real</t>
        </is>
      </c>
      <c r="E2" s="4" t="inlineStr">
        <is>
          <t>Aciertos:</t>
        </is>
      </c>
      <c r="F2" s="11">
        <f>SUMPRODUCT(--(LEFT($C$1:$C$32,1)="✔"))</f>
        <v/>
      </c>
      <c r="G2" s="4" t="inlineStr">
        <is>
          <t>de 6</t>
        </is>
      </c>
    </row>
    <row r="3"/>
    <row r="4">
      <c r="A4" s="12" t="inlineStr">
        <is>
          <t>Celdas azules: datos.  Celdas amarillas: tu respuesta (se ponen verdes si está bien y rojas si no).</t>
        </is>
      </c>
    </row>
    <row r="5"/>
    <row r="6">
      <c r="A6" s="13" t="inlineStr">
        <is>
          <t>Cesta de productos: precios y cantidades en el año base (2020) y en 2025.</t>
        </is>
      </c>
    </row>
    <row r="7">
      <c r="A7" s="18" t="inlineStr">
        <is>
          <t>Producto</t>
        </is>
      </c>
      <c r="B7" s="18" t="inlineStr">
        <is>
          <t>p₀</t>
        </is>
      </c>
      <c r="C7" s="18" t="inlineStr">
        <is>
          <t>q₀</t>
        </is>
      </c>
      <c r="D7" s="18" t="inlineStr">
        <is>
          <t>pₜ</t>
        </is>
      </c>
      <c r="E7" s="18" t="inlineStr">
        <is>
          <t>qₜ</t>
        </is>
      </c>
    </row>
    <row r="8">
      <c r="A8" s="19" t="inlineStr">
        <is>
          <t>A</t>
        </is>
      </c>
      <c r="B8" s="14" t="n">
        <v>2</v>
      </c>
      <c r="C8" s="14" t="n">
        <v>50</v>
      </c>
      <c r="D8" s="14" t="n">
        <v>2.4</v>
      </c>
      <c r="E8" s="14" t="n">
        <v>45</v>
      </c>
    </row>
    <row r="9">
      <c r="A9" s="19" t="inlineStr">
        <is>
          <t>B</t>
        </is>
      </c>
      <c r="B9" s="14" t="n">
        <v>5</v>
      </c>
      <c r="C9" s="14" t="n">
        <v>20</v>
      </c>
      <c r="D9" s="14" t="n">
        <v>5.5</v>
      </c>
      <c r="E9" s="14" t="n">
        <v>22</v>
      </c>
    </row>
    <row r="10">
      <c r="A10" s="19" t="inlineStr">
        <is>
          <t>C</t>
        </is>
      </c>
      <c r="B10" s="14" t="n">
        <v>1.5</v>
      </c>
      <c r="C10" s="14" t="n">
        <v>80</v>
      </c>
      <c r="D10" s="14" t="n">
        <v>1.8</v>
      </c>
      <c r="E10" s="14" t="n">
        <v>70</v>
      </c>
    </row>
    <row r="11"/>
    <row r="12">
      <c r="A12" s="28" t="inlineStr">
        <is>
          <t>Preguntas</t>
        </is>
      </c>
    </row>
    <row r="13">
      <c r="A13" s="16" t="inlineStr">
        <is>
          <t>Índice de Laspeyres de precios</t>
        </is>
      </c>
      <c r="B13" s="17" t="n"/>
      <c r="C13" s="16">
        <f>IF(B13="","",IF(AND(ISNUMBER(B13),ABS(B13-Claves!$A$37)&lt;=0.116875),"✔ Bien",IF(NOT(ISNUMBER(B13)),"✘ Escribe solo el número (sin texto ni %).",IF(ABS(B13-116.39344262295081)&lt;=0.11639344262295082,"✘ Ese es Paasche. Laspeyres usa las cantidades del año BASE (q₀).",IF(ABS(B13-85.56149732620321)&lt;=0.08556149732620322,"✘ Está al revés: arriba van los precios de 2025.","✘ Revisa el cálculo.")))))</f>
        <v/>
      </c>
    </row>
    <row r="14">
      <c r="A14" s="16" t="inlineStr">
        <is>
          <t>Índice de Paasche de precios</t>
        </is>
      </c>
      <c r="B14" s="17" t="n"/>
      <c r="C14" s="16">
        <f>IF(B14="","",IF(AND(ISNUMBER(B14),ABS(B14-Claves!$A$38)&lt;=0.11639344262295082),"✔ Bien",IF(NOT(ISNUMBER(B14)),"✘ Escribe solo el número (sin texto ni %).",IF(ABS(B14-116.875)&lt;=0.116875,"✘ Ese es Laspeyres. Paasche usa las cantidades ACTUALES (qₜ).","✘ Revisa el cálculo."))))</f>
        <v/>
      </c>
    </row>
    <row r="15">
      <c r="A15" s="16" t="inlineStr">
        <is>
          <t>Índice de Fisher</t>
        </is>
      </c>
      <c r="B15" s="17" t="n"/>
      <c r="C15" s="16">
        <f>IF(B15="","",IF(AND(ISNUMBER(B15),ABS(B15-Claves!$A$39)&lt;=0.1166339727804784),"✔ Bien",IF(NOT(ISNUMBER(B15)),"✘ Escribe solo el número (sin texto ni %).","✘ Revisa el cálculo.")))</f>
        <v/>
      </c>
    </row>
    <row r="16"/>
    <row r="17">
      <c r="A17" s="13" t="inlineStr">
        <is>
          <t>Salario mensual (€) e IPC (2022 = 100):</t>
        </is>
      </c>
    </row>
    <row r="18">
      <c r="A18" s="18" t="inlineStr">
        <is>
          <t>Año</t>
        </is>
      </c>
      <c r="B18" s="18" t="inlineStr">
        <is>
          <t>Salario</t>
        </is>
      </c>
      <c r="C18" s="18" t="inlineStr">
        <is>
          <t>IPC</t>
        </is>
      </c>
    </row>
    <row r="19">
      <c r="A19" s="14" t="n">
        <v>2022</v>
      </c>
      <c r="B19" s="14" t="n">
        <v>2100</v>
      </c>
      <c r="C19" s="14" t="n">
        <v>100</v>
      </c>
    </row>
    <row r="20">
      <c r="A20" s="14" t="n">
        <v>2023</v>
      </c>
      <c r="B20" s="14" t="n">
        <v>2200</v>
      </c>
      <c r="C20" s="14" t="n">
        <v>102</v>
      </c>
    </row>
    <row r="21">
      <c r="A21" s="14" t="n">
        <v>2024</v>
      </c>
      <c r="B21" s="14" t="n">
        <v>2250</v>
      </c>
      <c r="C21" s="14" t="n">
        <v>105.6</v>
      </c>
    </row>
    <row r="22">
      <c r="A22" s="14" t="n">
        <v>2025</v>
      </c>
      <c r="B22" s="14" t="n">
        <v>2330</v>
      </c>
      <c r="C22" s="14" t="n">
        <v>109.8</v>
      </c>
    </row>
    <row r="23"/>
    <row r="24">
      <c r="A24" s="16" t="inlineStr">
        <is>
          <t>Salario real de 2025 en € de 2022</t>
        </is>
      </c>
      <c r="B24" s="17" t="n"/>
      <c r="C24" s="16">
        <f>IF(B24="","",IF(AND(ISNUMBER(B24),ABS(B24-Claves!$A$40)&lt;=2.122040072859745),"✔ Bien",IF(NOT(ISNUMBER(B24)),"✘ Escribe solo el número (sin texto ni %).",IF(ABS(B24-2558.34)&lt;=2.5583400000000003,"✘ Para deflactar se DIVIDE entre el IPC (× 100).","✘ Revisa el cálculo."))))</f>
        <v/>
      </c>
    </row>
    <row r="25">
      <c r="A25" s="16" t="inlineStr">
        <is>
          <t>Variación nominal 2022-2025 (decimal)</t>
        </is>
      </c>
      <c r="B25" s="17" t="n"/>
      <c r="C25" s="16">
        <f>IF(B25="","",IF(AND(ISNUMBER(B25),OR(ABS(B25-Claves!$A$41)&lt;=0.00010952380952380959,ABS(B25/100-Claves!$A$41)&lt;=0.00010952380952380959)),"✔ Bien",IF(NOT(ISNUMBER(B25)),"✘ Escribe solo el número (sin texto ni %).","✘ Revisa el cálculo.")))</f>
        <v/>
      </c>
    </row>
    <row r="26">
      <c r="A26" s="16" t="inlineStr">
        <is>
          <t>Variación real 2022-2025 (decimal)</t>
        </is>
      </c>
      <c r="B26" s="17" t="n"/>
      <c r="C26" s="16">
        <f>IF(B26="","",IF(AND(ISNUMBER(B26),OR(ABS(B26-Claves!$A$42)&lt;=5.1000000000000006e-05,ABS(B26/100-Claves!$A$42)&lt;=5.1000000000000006e-05)),"✔ Bien",IF(NOT(ISNUMBER(B26)),"✘ Escribe solo el número (sin texto ni %).",IF(OR(ABS(B26-0.011523809523809714)&lt;=5.1000000000000006e-05,ABS(B26/100-0.011523809523809714)&lt;=5.1000000000000006e-05),"✘ Los porcentajes no se restan: compara el salario real con el de 2022.","✘ Revisa el cálculo."))))</f>
        <v/>
      </c>
    </row>
  </sheetData>
  <mergeCells count="6">
    <mergeCell ref="C14:I14"/>
    <mergeCell ref="C13:I13"/>
    <mergeCell ref="C26:I26"/>
    <mergeCell ref="C24:I24"/>
    <mergeCell ref="C15:I15"/>
    <mergeCell ref="C25:I25"/>
  </mergeCells>
  <conditionalFormatting sqref="B13">
    <cfRule type="expression" priority="1" dxfId="0">
      <formula>LEFT($C13,1)="✔"</formula>
    </cfRule>
    <cfRule type="expression" priority="2" dxfId="1">
      <formula>LEFT($C13,1)="✘"</formula>
    </cfRule>
  </conditionalFormatting>
  <conditionalFormatting sqref="C13:I13">
    <cfRule type="expression" priority="3" dxfId="2">
      <formula>LEFT($C13,1)="✔"</formula>
    </cfRule>
    <cfRule type="expression" priority="4" dxfId="3">
      <formula>LEFT($C13,1)="✘"</formula>
    </cfRule>
  </conditionalFormatting>
  <conditionalFormatting sqref="B14">
    <cfRule type="expression" priority="5" dxfId="0">
      <formula>LEFT($C14,1)="✔"</formula>
    </cfRule>
    <cfRule type="expression" priority="6" dxfId="1">
      <formula>LEFT($C14,1)="✘"</formula>
    </cfRule>
  </conditionalFormatting>
  <conditionalFormatting sqref="C14:I14">
    <cfRule type="expression" priority="7" dxfId="2">
      <formula>LEFT($C14,1)="✔"</formula>
    </cfRule>
    <cfRule type="expression" priority="8" dxfId="3">
      <formula>LEFT($C14,1)="✘"</formula>
    </cfRule>
  </conditionalFormatting>
  <conditionalFormatting sqref="B15">
    <cfRule type="expression" priority="9" dxfId="0">
      <formula>LEFT($C15,1)="✔"</formula>
    </cfRule>
    <cfRule type="expression" priority="10" dxfId="1">
      <formula>LEFT($C15,1)="✘"</formula>
    </cfRule>
  </conditionalFormatting>
  <conditionalFormatting sqref="C15:I15">
    <cfRule type="expression" priority="11" dxfId="2">
      <formula>LEFT($C15,1)="✔"</formula>
    </cfRule>
    <cfRule type="expression" priority="12" dxfId="3">
      <formula>LEFT($C15,1)="✘"</formula>
    </cfRule>
  </conditionalFormatting>
  <conditionalFormatting sqref="B24">
    <cfRule type="expression" priority="13" dxfId="0">
      <formula>LEFT($C24,1)="✔"</formula>
    </cfRule>
    <cfRule type="expression" priority="14" dxfId="1">
      <formula>LEFT($C24,1)="✘"</formula>
    </cfRule>
  </conditionalFormatting>
  <conditionalFormatting sqref="C24:I24">
    <cfRule type="expression" priority="15" dxfId="2">
      <formula>LEFT($C24,1)="✔"</formula>
    </cfRule>
    <cfRule type="expression" priority="16" dxfId="3">
      <formula>LEFT($C24,1)="✘"</formula>
    </cfRule>
  </conditionalFormatting>
  <conditionalFormatting sqref="B25">
    <cfRule type="expression" priority="17" dxfId="0">
      <formula>LEFT($C25,1)="✔"</formula>
    </cfRule>
    <cfRule type="expression" priority="18" dxfId="1">
      <formula>LEFT($C25,1)="✘"</formula>
    </cfRule>
  </conditionalFormatting>
  <conditionalFormatting sqref="C25:I25">
    <cfRule type="expression" priority="19" dxfId="2">
      <formula>LEFT($C25,1)="✔"</formula>
    </cfRule>
    <cfRule type="expression" priority="20" dxfId="3">
      <formula>LEFT($C25,1)="✘"</formula>
    </cfRule>
  </conditionalFormatting>
  <conditionalFormatting sqref="B26">
    <cfRule type="expression" priority="21" dxfId="0">
      <formula>LEFT($C26,1)="✔"</formula>
    </cfRule>
    <cfRule type="expression" priority="22" dxfId="1">
      <formula>LEFT($C26,1)="✘"</formula>
    </cfRule>
  </conditionalFormatting>
  <conditionalFormatting sqref="C26:I26">
    <cfRule type="expression" priority="23" dxfId="2">
      <formula>LEFT($C26,1)="✔"</formula>
    </cfRule>
    <cfRule type="expression" priority="24" dxfId="3">
      <formula>LEFT($C26,1)="✘"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F5FD0"/>
    <outlinePr summaryBelow="1" summaryRight="1"/>
    <pageSetUpPr/>
  </sheetPr>
  <dimension ref="A1:K22"/>
  <sheetViews>
    <sheetView showGridLines="1" zoomScale="11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8" t="inlineStr">
        <is>
          <t>Simulacro 2 · Pregunta 1 (2 puntos)</t>
        </is>
      </c>
      <c r="B1" s="9" t="n"/>
      <c r="C1" s="9" t="n"/>
      <c r="D1" s="9" t="n"/>
      <c r="E1" s="9" t="n"/>
      <c r="F1" s="9" t="n"/>
      <c r="G1" s="9" t="n"/>
    </row>
    <row r="2">
      <c r="A2" s="10" t="inlineStr">
        <is>
          <t>Hijos por empleado</t>
        </is>
      </c>
      <c r="E2" s="4" t="inlineStr">
        <is>
          <t>Aciertos:</t>
        </is>
      </c>
      <c r="F2" s="11">
        <f>SUMPRODUCT(--(LEFT($C$1:$C$28,1)="✔"))</f>
        <v/>
      </c>
      <c r="G2" s="4" t="inlineStr">
        <is>
          <t>de 11</t>
        </is>
      </c>
    </row>
    <row r="3"/>
    <row r="4">
      <c r="A4" s="12" t="inlineStr">
        <is>
          <t>Celdas azules: datos.  Celdas amarillas: tu respuesta (se ponen verdes si está bien y rojas si no).</t>
        </is>
      </c>
    </row>
    <row r="5"/>
    <row r="6">
      <c r="A6" s="13" t="inlineStr">
        <is>
          <t>Número de hijos de 28 empleados.</t>
        </is>
      </c>
    </row>
    <row r="7">
      <c r="A7" s="4" t="inlineStr">
        <is>
          <t>Datos</t>
        </is>
      </c>
      <c r="B7" s="14" t="n">
        <v>1</v>
      </c>
      <c r="C7" s="14" t="n">
        <v>0</v>
      </c>
      <c r="D7" s="14" t="n">
        <v>2</v>
      </c>
      <c r="E7" s="14" t="n">
        <v>2</v>
      </c>
      <c r="F7" s="14" t="n">
        <v>1</v>
      </c>
      <c r="G7" s="14" t="n">
        <v>3</v>
      </c>
      <c r="H7" s="14" t="n">
        <v>0</v>
      </c>
      <c r="I7" s="14" t="n">
        <v>1</v>
      </c>
      <c r="J7" s="14" t="n">
        <v>1</v>
      </c>
      <c r="K7" s="14" t="n">
        <v>2</v>
      </c>
    </row>
    <row r="8">
      <c r="B8" s="14" t="n">
        <v>4</v>
      </c>
      <c r="C8" s="14" t="n">
        <v>0</v>
      </c>
      <c r="D8" s="14" t="n">
        <v>1</v>
      </c>
      <c r="E8" s="14" t="n">
        <v>2</v>
      </c>
      <c r="F8" s="14" t="n">
        <v>1</v>
      </c>
      <c r="G8" s="14" t="n">
        <v>0</v>
      </c>
      <c r="H8" s="14" t="n">
        <v>3</v>
      </c>
      <c r="I8" s="14" t="n">
        <v>1</v>
      </c>
      <c r="J8" s="14" t="n">
        <v>2</v>
      </c>
      <c r="K8" s="14" t="n">
        <v>1</v>
      </c>
    </row>
    <row r="9">
      <c r="B9" s="14" t="n">
        <v>0</v>
      </c>
      <c r="C9" s="14" t="n">
        <v>2</v>
      </c>
      <c r="D9" s="14" t="n">
        <v>1</v>
      </c>
      <c r="E9" s="14" t="n">
        <v>6</v>
      </c>
      <c r="F9" s="14" t="n">
        <v>1</v>
      </c>
      <c r="G9" s="14" t="n">
        <v>0</v>
      </c>
      <c r="H9" s="14" t="n">
        <v>2</v>
      </c>
      <c r="I9" s="14" t="n">
        <v>1</v>
      </c>
    </row>
    <row r="10"/>
    <row r="11">
      <c r="A11" s="15" t="inlineStr">
        <is>
          <t>Preguntas</t>
        </is>
      </c>
    </row>
    <row r="12">
      <c r="A12" s="16" t="inlineStr">
        <is>
          <t>Tamaño de la muestra (n)</t>
        </is>
      </c>
      <c r="B12" s="17" t="n"/>
      <c r="C12" s="16">
        <f>IF(B12="","",IF(AND(ISNUMBER(B12),ABS(B12-Claves!$A$43)&lt;=0.51),"✔ Bien",IF(NOT(ISNUMBER(B12)),"✘ Escribe solo el número (sin texto ni %).","✘ Revisa el cálculo.")))</f>
        <v/>
      </c>
    </row>
    <row r="13">
      <c r="A13" s="16" t="inlineStr">
        <is>
          <t>Media</t>
        </is>
      </c>
      <c r="B13" s="17" t="n"/>
      <c r="C13" s="16">
        <f>IF(B13="","",IF(AND(ISNUMBER(B13),ABS(B13-Claves!$A$44)&lt;=0.0051),"✔ Bien",IF(NOT(ISNUMBER(B13)),"✘ Escribe solo el número (sin texto ni %).",IF(ABS(B13-2.6666666666666665)&lt;=0.0051,"✘ Has hecho la media de los valores distintos. Cada valor cuenta tantas veces como se repite.","✘ Revisa el cálculo."))))</f>
        <v/>
      </c>
    </row>
    <row r="14">
      <c r="A14" s="16" t="inlineStr">
        <is>
          <t>Mediana</t>
        </is>
      </c>
      <c r="B14" s="17" t="n"/>
      <c r="C14" s="16">
        <f>IF(B14="","",IF(AND(ISNUMBER(B14),ABS(B14-Claves!$A$45)&lt;=0.0051),"✔ Bien",IF(NOT(ISNUMBER(B14)),"✘ Escribe solo el número (sin texto ni %).","✘ Revisa el cálculo.")))</f>
        <v/>
      </c>
    </row>
    <row r="15">
      <c r="A15" s="16" t="inlineStr">
        <is>
          <t>Moda</t>
        </is>
      </c>
      <c r="B15" s="17" t="n"/>
      <c r="C15" s="16">
        <f>IF(B15="","",IF(AND(ISNUMBER(B15),ABS(B15-Claves!$A$46)&lt;=0.51),"✔ Bien",IF(NOT(ISNUMBER(B15)),"✘ Escribe solo el número (sin texto ni %).",IF(ABS(B15-11)&lt;=0.51,"✘ Eso es la frecuencia más alta. La moda es el VALOR que tiene esa frecuencia.","✘ Revisa el cálculo."))))</f>
        <v/>
      </c>
    </row>
    <row r="16">
      <c r="A16" s="16" t="inlineStr">
        <is>
          <t>Primer cuartil (con CUARTIL.INC)</t>
        </is>
      </c>
      <c r="B16" s="17" t="n"/>
      <c r="C16" s="16">
        <f>IF(B16="","",IF(AND(ISNUMBER(B16),ABS(B16-Claves!$A$47)&lt;=0.0051),"✔ Bien",IF(NOT(ISNUMBER(B16)),"✘ Escribe solo el número (sin texto ni %).","✘ Revisa el cálculo.")))</f>
        <v/>
      </c>
    </row>
    <row r="17">
      <c r="A17" s="16" t="inlineStr">
        <is>
          <t>Tercer cuartil (con CUARTIL.INC)</t>
        </is>
      </c>
      <c r="B17" s="17" t="n"/>
      <c r="C17" s="16">
        <f>IF(B17="","",IF(AND(ISNUMBER(B17),ABS(B17-Claves!$A$48)&lt;=0.0051),"✔ Bien",IF(NOT(ISNUMBER(B17)),"✘ Escribe solo el número (sin texto ni %).","✘ Revisa el cálculo.")))</f>
        <v/>
      </c>
    </row>
    <row r="18">
      <c r="A18" s="16" t="inlineStr">
        <is>
          <t>Varianza S² (la de clase)</t>
        </is>
      </c>
      <c r="B18" s="17" t="n"/>
      <c r="C18" s="16">
        <f>IF(B18="","",IF(AND(ISNUMBER(B18),ABS(B18-Claves!$A$49)&lt;=0.0017487244897959183),"✔ Bien",IF(NOT(ISNUMBER(B18)),"✘ Escribe solo el número (sin texto ni %).",IF(ABS(B18-1.8134920634920633)&lt;=0.0018134920634920633,"✘ Has calculado la cuasivarianza (VAR.S). Aquí se pide VAR.P.",IF(ABS(B18-3.892857142857143)&lt;=0.003892857142857143,"✘ Te falta restar la media al cuadrado.","✘ Revisa el cálculo.")))))</f>
        <v/>
      </c>
    </row>
    <row r="19">
      <c r="A19" s="16" t="inlineStr">
        <is>
          <t>Cuasivarianza s²</t>
        </is>
      </c>
      <c r="B19" s="17" t="n"/>
      <c r="C19" s="16">
        <f>IF(B19="","",IF(AND(ISNUMBER(B19),ABS(B19-Claves!$A$50)&lt;=0.0018134920634920633),"✔ Bien",IF(NOT(ISNUMBER(B19)),"✘ Escribe solo el número (sin texto ni %).",IF(ABS(B19-1.7487244897959182)&lt;=0.0017487244897959183,"✘ Esa es la varianza (VAR.P). La cuasivarianza es VAR.S.","✘ Revisa el cálculo."))))</f>
        <v/>
      </c>
    </row>
    <row r="20">
      <c r="A20" s="16" t="inlineStr">
        <is>
          <t>Desviación típica S</t>
        </is>
      </c>
      <c r="B20" s="17" t="n"/>
      <c r="C20" s="16">
        <f>IF(B20="","",IF(AND(ISNUMBER(B20),ABS(B20-Claves!$A$51)&lt;=0.001322393470112401),"✔ Bien",IF(NOT(ISNUMBER(B20)),"✘ Escribe solo el número (sin texto ni %).",IF(ABS(B20-1.3466595945123114)&lt;=0.0013466595945123114,"✘ Has usado DESVEST.S. La desviación típica de clase es DESVEST.P.",IF(ABS(B20-1.7487244897959182)&lt;=0.0017487244897959183,"✘ Eso es la varianza. La desviación típica es su raíz.","✘ Revisa el cálculo.")))))</f>
        <v/>
      </c>
    </row>
    <row r="21">
      <c r="A21" s="16" t="inlineStr">
        <is>
          <t>Coeficiente de variación (en decimal)</t>
        </is>
      </c>
      <c r="B21" s="17" t="n"/>
      <c r="C21" s="16">
        <f>IF(B21="","",IF(AND(ISNUMBER(B21),OR(ABS(B21-Claves!$A$52)&lt;=0.000903097979588957,ABS(B21/100-Claves!$A$52)&lt;=0.000903097979588957)),"✔ Bien",IF(NOT(ISNUMBER(B21)),"✘ Escribe solo el número (sin texto ni %).",IF(OR(ABS(B21-0.9196699669840176)&lt;=0.0009196699669840176,ABS(B21/100-0.9196699669840176)&lt;=0.0009196699669840176),"✘ Usa DESVEST.P en el CV, no DESVEST.S.",IF(OR(ABS(B21-1.107299565054002)&lt;=0.001107299565054002,ABS(B21/100-1.107299565054002)&lt;=0.001107299565054002),"✘ Está al revés: CV = desviación típica ÷ media.","✘ Revisa el cálculo.")))))</f>
        <v/>
      </c>
    </row>
    <row r="22" ht="30" customHeight="1">
      <c r="A22" s="16" t="inlineStr">
        <is>
          <t>Proporción de empleados con más de 1 (en decimal o %)</t>
        </is>
      </c>
      <c r="B22" s="17" t="n"/>
      <c r="C22" s="16">
        <f>IF(B22="","",IF(AND(ISNUMBER(B22),OR(ABS(B22-Claves!$A$53)&lt;=0.00051,ABS(B22/100-Claves!$A$53)&lt;=0.00051)),"✔ Bien",IF(NOT(ISNUMBER(B22)),"✘ Escribe solo el número (sin texto ni %).",IF(OR(ABS(B22-0.7857142857142857)&lt;=0.0007857142857142857,ABS(B22/100-0.7857142857142857)&lt;=0.0007857142857142857),"✘ ""Más de 1"" no incluye el 1.",IF(OR(ABS(B22-11)&lt;=0.011,ABS(B22/100-11)&lt;=0.011),"✘ Eso es cuántos son. Piden la proporción: divide entre n.","✘ Revisa el cálculo.")))))</f>
        <v/>
      </c>
    </row>
  </sheetData>
  <mergeCells count="11">
    <mergeCell ref="C14:I14"/>
    <mergeCell ref="C13:I13"/>
    <mergeCell ref="C22:I22"/>
    <mergeCell ref="C18:I18"/>
    <mergeCell ref="C17:I17"/>
    <mergeCell ref="C21:I21"/>
    <mergeCell ref="C20:I20"/>
    <mergeCell ref="C12:I12"/>
    <mergeCell ref="C16:I16"/>
    <mergeCell ref="C15:I15"/>
    <mergeCell ref="C19:I19"/>
  </mergeCells>
  <conditionalFormatting sqref="B12">
    <cfRule type="expression" priority="1" dxfId="0">
      <formula>LEFT($C12,1)="✔"</formula>
    </cfRule>
    <cfRule type="expression" priority="2" dxfId="1">
      <formula>LEFT($C12,1)="✘"</formula>
    </cfRule>
  </conditionalFormatting>
  <conditionalFormatting sqref="C12:I12">
    <cfRule type="expression" priority="3" dxfId="2">
      <formula>LEFT($C12,1)="✔"</formula>
    </cfRule>
    <cfRule type="expression" priority="4" dxfId="3">
      <formula>LEFT($C12,1)="✘"</formula>
    </cfRule>
  </conditionalFormatting>
  <conditionalFormatting sqref="B13">
    <cfRule type="expression" priority="5" dxfId="0">
      <formula>LEFT($C13,1)="✔"</formula>
    </cfRule>
    <cfRule type="expression" priority="6" dxfId="1">
      <formula>LEFT($C13,1)="✘"</formula>
    </cfRule>
  </conditionalFormatting>
  <conditionalFormatting sqref="C13:I13">
    <cfRule type="expression" priority="7" dxfId="2">
      <formula>LEFT($C13,1)="✔"</formula>
    </cfRule>
    <cfRule type="expression" priority="8" dxfId="3">
      <formula>LEFT($C13,1)="✘"</formula>
    </cfRule>
  </conditionalFormatting>
  <conditionalFormatting sqref="B14">
    <cfRule type="expression" priority="9" dxfId="0">
      <formula>LEFT($C14,1)="✔"</formula>
    </cfRule>
    <cfRule type="expression" priority="10" dxfId="1">
      <formula>LEFT($C14,1)="✘"</formula>
    </cfRule>
  </conditionalFormatting>
  <conditionalFormatting sqref="C14:I14">
    <cfRule type="expression" priority="11" dxfId="2">
      <formula>LEFT($C14,1)="✔"</formula>
    </cfRule>
    <cfRule type="expression" priority="12" dxfId="3">
      <formula>LEFT($C14,1)="✘"</formula>
    </cfRule>
  </conditionalFormatting>
  <conditionalFormatting sqref="B15">
    <cfRule type="expression" priority="13" dxfId="0">
      <formula>LEFT($C15,1)="✔"</formula>
    </cfRule>
    <cfRule type="expression" priority="14" dxfId="1">
      <formula>LEFT($C15,1)="✘"</formula>
    </cfRule>
  </conditionalFormatting>
  <conditionalFormatting sqref="C15:I15">
    <cfRule type="expression" priority="15" dxfId="2">
      <formula>LEFT($C15,1)="✔"</formula>
    </cfRule>
    <cfRule type="expression" priority="16" dxfId="3">
      <formula>LEFT($C15,1)="✘"</formula>
    </cfRule>
  </conditionalFormatting>
  <conditionalFormatting sqref="B16">
    <cfRule type="expression" priority="17" dxfId="0">
      <formula>LEFT($C16,1)="✔"</formula>
    </cfRule>
    <cfRule type="expression" priority="18" dxfId="1">
      <formula>LEFT($C16,1)="✘"</formula>
    </cfRule>
  </conditionalFormatting>
  <conditionalFormatting sqref="C16:I16">
    <cfRule type="expression" priority="19" dxfId="2">
      <formula>LEFT($C16,1)="✔"</formula>
    </cfRule>
    <cfRule type="expression" priority="20" dxfId="3">
      <formula>LEFT($C16,1)="✘"</formula>
    </cfRule>
  </conditionalFormatting>
  <conditionalFormatting sqref="B17">
    <cfRule type="expression" priority="21" dxfId="0">
      <formula>LEFT($C17,1)="✔"</formula>
    </cfRule>
    <cfRule type="expression" priority="22" dxfId="1">
      <formula>LEFT($C17,1)="✘"</formula>
    </cfRule>
  </conditionalFormatting>
  <conditionalFormatting sqref="C17:I17">
    <cfRule type="expression" priority="23" dxfId="2">
      <formula>LEFT($C17,1)="✔"</formula>
    </cfRule>
    <cfRule type="expression" priority="24" dxfId="3">
      <formula>LEFT($C17,1)="✘"</formula>
    </cfRule>
  </conditionalFormatting>
  <conditionalFormatting sqref="B18">
    <cfRule type="expression" priority="25" dxfId="0">
      <formula>LEFT($C18,1)="✔"</formula>
    </cfRule>
    <cfRule type="expression" priority="26" dxfId="1">
      <formula>LEFT($C18,1)="✘"</formula>
    </cfRule>
  </conditionalFormatting>
  <conditionalFormatting sqref="C18:I18">
    <cfRule type="expression" priority="27" dxfId="2">
      <formula>LEFT($C18,1)="✔"</formula>
    </cfRule>
    <cfRule type="expression" priority="28" dxfId="3">
      <formula>LEFT($C18,1)="✘"</formula>
    </cfRule>
  </conditionalFormatting>
  <conditionalFormatting sqref="B19">
    <cfRule type="expression" priority="29" dxfId="0">
      <formula>LEFT($C19,1)="✔"</formula>
    </cfRule>
    <cfRule type="expression" priority="30" dxfId="1">
      <formula>LEFT($C19,1)="✘"</formula>
    </cfRule>
  </conditionalFormatting>
  <conditionalFormatting sqref="C19:I19">
    <cfRule type="expression" priority="31" dxfId="2">
      <formula>LEFT($C19,1)="✔"</formula>
    </cfRule>
    <cfRule type="expression" priority="32" dxfId="3">
      <formula>LEFT($C19,1)="✘"</formula>
    </cfRule>
  </conditionalFormatting>
  <conditionalFormatting sqref="B20">
    <cfRule type="expression" priority="33" dxfId="0">
      <formula>LEFT($C20,1)="✔"</formula>
    </cfRule>
    <cfRule type="expression" priority="34" dxfId="1">
      <formula>LEFT($C20,1)="✘"</formula>
    </cfRule>
  </conditionalFormatting>
  <conditionalFormatting sqref="C20:I20">
    <cfRule type="expression" priority="35" dxfId="2">
      <formula>LEFT($C20,1)="✔"</formula>
    </cfRule>
    <cfRule type="expression" priority="36" dxfId="3">
      <formula>LEFT($C20,1)="✘"</formula>
    </cfRule>
  </conditionalFormatting>
  <conditionalFormatting sqref="B21">
    <cfRule type="expression" priority="37" dxfId="0">
      <formula>LEFT($C21,1)="✔"</formula>
    </cfRule>
    <cfRule type="expression" priority="38" dxfId="1">
      <formula>LEFT($C21,1)="✘"</formula>
    </cfRule>
  </conditionalFormatting>
  <conditionalFormatting sqref="C21:I21">
    <cfRule type="expression" priority="39" dxfId="2">
      <formula>LEFT($C21,1)="✔"</formula>
    </cfRule>
    <cfRule type="expression" priority="40" dxfId="3">
      <formula>LEFT($C21,1)="✘"</formula>
    </cfRule>
  </conditionalFormatting>
  <conditionalFormatting sqref="B22">
    <cfRule type="expression" priority="41" dxfId="0">
      <formula>LEFT($C22,1)="✔"</formula>
    </cfRule>
    <cfRule type="expression" priority="42" dxfId="1">
      <formula>LEFT($C22,1)="✘"</formula>
    </cfRule>
  </conditionalFormatting>
  <conditionalFormatting sqref="C22:I22">
    <cfRule type="expression" priority="43" dxfId="2">
      <formula>LEFT($C22,1)="✔"</formula>
    </cfRule>
    <cfRule type="expression" priority="44" dxfId="3">
      <formula>LEFT($C22,1)="✘"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F5FD0"/>
    <outlinePr summaryBelow="1" summaryRight="1"/>
    <pageSetUpPr/>
  </sheetPr>
  <dimension ref="A1:I22"/>
  <sheetViews>
    <sheetView showGridLines="1" zoomScale="11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8" t="inlineStr">
        <is>
          <t>Simulacro 2 · Pregunta 2 (2 puntos)</t>
        </is>
      </c>
      <c r="B1" s="9" t="n"/>
      <c r="C1" s="9" t="n"/>
      <c r="D1" s="9" t="n"/>
      <c r="E1" s="9" t="n"/>
      <c r="F1" s="9" t="n"/>
      <c r="G1" s="9" t="n"/>
    </row>
    <row r="2">
      <c r="A2" s="10" t="inlineStr">
        <is>
          <t>Tiempo de desplazamiento al trabajo</t>
        </is>
      </c>
      <c r="E2" s="4" t="inlineStr">
        <is>
          <t>Aciertos:</t>
        </is>
      </c>
      <c r="F2" s="11">
        <f>SUMPRODUCT(--(LEFT($C$1:$C$28,1)="✔"))</f>
        <v/>
      </c>
      <c r="G2" s="4" t="inlineStr">
        <is>
          <t>de 8</t>
        </is>
      </c>
    </row>
    <row r="3"/>
    <row r="4">
      <c r="A4" s="12" t="inlineStr">
        <is>
          <t>Celdas azules: datos.  Celdas amarillas: tu respuesta (se ponen verdes si está bien y rojas si no).</t>
        </is>
      </c>
    </row>
    <row r="5"/>
    <row r="6">
      <c r="A6" s="13" t="inlineStr">
        <is>
          <t>Minutos de desplazamiento al trabajo de 100 personas.</t>
        </is>
      </c>
    </row>
    <row r="7">
      <c r="A7" s="18" t="inlineStr">
        <is>
          <t>Intervalo</t>
        </is>
      </c>
      <c r="B7" s="18" t="inlineStr">
        <is>
          <t>nᵢ</t>
        </is>
      </c>
    </row>
    <row r="8">
      <c r="A8" s="19" t="inlineStr">
        <is>
          <t>[0, 10]</t>
        </is>
      </c>
      <c r="B8" s="14" t="n">
        <v>14</v>
      </c>
    </row>
    <row r="9">
      <c r="A9" s="19" t="inlineStr">
        <is>
          <t>(10, 20]</t>
        </is>
      </c>
      <c r="B9" s="14" t="n">
        <v>26</v>
      </c>
    </row>
    <row r="10">
      <c r="A10" s="19" t="inlineStr">
        <is>
          <t>(20, 30]</t>
        </is>
      </c>
      <c r="B10" s="14" t="n">
        <v>31</v>
      </c>
    </row>
    <row r="11">
      <c r="A11" s="19" t="inlineStr">
        <is>
          <t>(30, 45]</t>
        </is>
      </c>
      <c r="B11" s="14" t="n">
        <v>19</v>
      </c>
    </row>
    <row r="12">
      <c r="A12" s="19" t="inlineStr">
        <is>
          <t>(45, 90]</t>
        </is>
      </c>
      <c r="B12" s="14" t="n">
        <v>10</v>
      </c>
    </row>
    <row r="13"/>
    <row r="14">
      <c r="A14" s="15" t="inlineStr">
        <is>
          <t>Preguntas</t>
        </is>
      </c>
    </row>
    <row r="15">
      <c r="A15" s="16" t="inlineStr">
        <is>
          <t>n (total)</t>
        </is>
      </c>
      <c r="B15" s="17" t="n"/>
      <c r="C15" s="16">
        <f>IF(B15="","",IF(AND(ISNUMBER(B15),ABS(B15-Claves!$A$54)&lt;=0.51),"✔ Bien",IF(NOT(ISNUMBER(B15)),"✘ Escribe solo el número (sin texto ni %).","✘ Revisa el cálculo.")))</f>
        <v/>
      </c>
    </row>
    <row r="16">
      <c r="A16" s="16" t="inlineStr">
        <is>
          <t>Media</t>
        </is>
      </c>
      <c r="B16" s="17" t="n"/>
      <c r="C16" s="16">
        <f>IF(B16="","",IF(AND(ISNUMBER(B16),ABS(B16-Claves!$A$55)&lt;=0.026225000000000002),"✔ Bien",IF(NOT(ISNUMBER(B16)),"✘ Escribe solo el número (sin texto ni %).",IF(ABS(B16-30)&lt;=0.03,"✘ Has promediado las marcas sin multiplicar por las frecuencias.","✘ Revisa el cálculo."))))</f>
        <v/>
      </c>
    </row>
    <row r="17">
      <c r="A17" s="16" t="inlineStr">
        <is>
          <t>Varianza S²</t>
        </is>
      </c>
      <c r="B17" s="17" t="n"/>
      <c r="C17" s="16">
        <f>IF(B17="","",IF(AND(ISNUMBER(B17),ABS(B17-Claves!$A$56)&lt;=0.2908118749999999),"✔ Bien",IF(NOT(ISNUMBER(B17)),"✘ Escribe solo el número (sin texto ni %).",IF(ABS(B17-978.5625)&lt;=0.9785625,"✘ Te falta restar la media al cuadrado.",IF(ABS(B17-293.74936868686854)&lt;=0.2937493686868685,"✘ Esa es la cuasivarianza (divide entre n−1). Aquí se pide la varianza.","✘ Revisa el cálculo.")))))</f>
        <v/>
      </c>
    </row>
    <row r="18">
      <c r="A18" s="16" t="inlineStr">
        <is>
          <t>Desviación típica S</t>
        </is>
      </c>
      <c r="B18" s="17" t="n"/>
      <c r="C18" s="16">
        <f>IF(B18="","",IF(AND(ISNUMBER(B18),ABS(B18-Claves!$A$57)&lt;=0.017053207176364212),"✔ Bien",IF(NOT(ISNUMBER(B18)),"✘ Escribe solo el número (sin texto ni %).","✘ Revisa el cálculo.")))</f>
        <v/>
      </c>
    </row>
    <row r="19">
      <c r="A19" s="16" t="inlineStr">
        <is>
          <t>Coeficiente de variación (decimal)</t>
        </is>
      </c>
      <c r="B19" s="17" t="n"/>
      <c r="C19" s="16">
        <f>IF(B19="","",IF(AND(ISNUMBER(B19),OR(ABS(B19-Claves!$A$58)&lt;=0.0006502652879452511,ABS(B19/100-Claves!$A$58)&lt;=0.0006502652879452511)),"✔ Bien",IF(NOT(ISNUMBER(B19)),"✘ Escribe solo el número (sin texto ni %).","✘ Revisa el cálculo.")))</f>
        <v/>
      </c>
    </row>
    <row r="20">
      <c r="A20" s="16" t="inlineStr">
        <is>
          <t>Moda (fórmula de intervalos)</t>
        </is>
      </c>
      <c r="B20" s="17" t="n"/>
      <c r="C20" s="16">
        <f>IF(B20="","",IF(AND(ISNUMBER(B20),ABS(B20-Claves!$A$59)&lt;=0.02214285714285714),"✔ Bien",IF(NOT(ISNUMBER(B20)),"✘ Escribe solo el número (sin texto ni %).",IF(ABS(B20-22.941176470588236)&lt;=0.022941176470588236,"✘ Has usado las frecuencias. Con amplitudes distintas, el intervalo modal se elige por la DENSIDAD.","✘ Revisa el cálculo."))))</f>
        <v/>
      </c>
    </row>
    <row r="21">
      <c r="A21" s="16" t="inlineStr">
        <is>
          <t>Mediana</t>
        </is>
      </c>
      <c r="B21" s="17" t="n"/>
      <c r="C21" s="16">
        <f>IF(B21="","",IF(AND(ISNUMBER(B21),ABS(B21-Claves!$A$60)&lt;=0.023225806451612905),"✔ Bien",IF(NOT(ISNUMBER(B21)),"✘ Escribe solo el número (sin texto ni %).",IF(ABS(B21-25)&lt;=0.025,"✘ Eso es la marca del intervalo. Aplica la fórmula: Linf + (n/2 − Nᵢ₋₁)/nᵢ · aᵢ.","✘ Revisa el cálculo."))))</f>
        <v/>
      </c>
    </row>
    <row r="22" ht="30" customHeight="1">
      <c r="A22" s="16" t="inlineStr">
        <is>
          <t>¿A partir de qué valor se está en el 25 % con valores más altos?</t>
        </is>
      </c>
      <c r="B22" s="17" t="n"/>
      <c r="C22" s="16">
        <f>IF(B22="","",IF(AND(ISNUMBER(B22),ABS(B22-Claves!$A$61)&lt;=0.0331578947368421),"✔ Bien",IF(NOT(ISNUMBER(B22)),"✘ Escribe solo el número (sin texto ni %).",IF(ABS(B22-14.23076923076923)&lt;=0.01423076923076923,"✘ Ese es el percentil 25. ""El 25 % de arriba"" empieza en el percentil 75.","✘ Revisa el cálculo."))))</f>
        <v/>
      </c>
    </row>
  </sheetData>
  <mergeCells count="8">
    <mergeCell ref="C22:I22"/>
    <mergeCell ref="C18:I18"/>
    <mergeCell ref="C17:I17"/>
    <mergeCell ref="C21:I21"/>
    <mergeCell ref="C20:I20"/>
    <mergeCell ref="C16:I16"/>
    <mergeCell ref="C15:I15"/>
    <mergeCell ref="C19:I19"/>
  </mergeCells>
  <conditionalFormatting sqref="B15">
    <cfRule type="expression" priority="1" dxfId="0">
      <formula>LEFT($C15,1)="✔"</formula>
    </cfRule>
    <cfRule type="expression" priority="2" dxfId="1">
      <formula>LEFT($C15,1)="✘"</formula>
    </cfRule>
  </conditionalFormatting>
  <conditionalFormatting sqref="C15:I15">
    <cfRule type="expression" priority="3" dxfId="2">
      <formula>LEFT($C15,1)="✔"</formula>
    </cfRule>
    <cfRule type="expression" priority="4" dxfId="3">
      <formula>LEFT($C15,1)="✘"</formula>
    </cfRule>
  </conditionalFormatting>
  <conditionalFormatting sqref="B16">
    <cfRule type="expression" priority="5" dxfId="0">
      <formula>LEFT($C16,1)="✔"</formula>
    </cfRule>
    <cfRule type="expression" priority="6" dxfId="1">
      <formula>LEFT($C16,1)="✘"</formula>
    </cfRule>
  </conditionalFormatting>
  <conditionalFormatting sqref="C16:I16">
    <cfRule type="expression" priority="7" dxfId="2">
      <formula>LEFT($C16,1)="✔"</formula>
    </cfRule>
    <cfRule type="expression" priority="8" dxfId="3">
      <formula>LEFT($C16,1)="✘"</formula>
    </cfRule>
  </conditionalFormatting>
  <conditionalFormatting sqref="B17">
    <cfRule type="expression" priority="9" dxfId="0">
      <formula>LEFT($C17,1)="✔"</formula>
    </cfRule>
    <cfRule type="expression" priority="10" dxfId="1">
      <formula>LEFT($C17,1)="✘"</formula>
    </cfRule>
  </conditionalFormatting>
  <conditionalFormatting sqref="C17:I17">
    <cfRule type="expression" priority="11" dxfId="2">
      <formula>LEFT($C17,1)="✔"</formula>
    </cfRule>
    <cfRule type="expression" priority="12" dxfId="3">
      <formula>LEFT($C17,1)="✘"</formula>
    </cfRule>
  </conditionalFormatting>
  <conditionalFormatting sqref="B18">
    <cfRule type="expression" priority="13" dxfId="0">
      <formula>LEFT($C18,1)="✔"</formula>
    </cfRule>
    <cfRule type="expression" priority="14" dxfId="1">
      <formula>LEFT($C18,1)="✘"</formula>
    </cfRule>
  </conditionalFormatting>
  <conditionalFormatting sqref="C18:I18">
    <cfRule type="expression" priority="15" dxfId="2">
      <formula>LEFT($C18,1)="✔"</formula>
    </cfRule>
    <cfRule type="expression" priority="16" dxfId="3">
      <formula>LEFT($C18,1)="✘"</formula>
    </cfRule>
  </conditionalFormatting>
  <conditionalFormatting sqref="B19">
    <cfRule type="expression" priority="17" dxfId="0">
      <formula>LEFT($C19,1)="✔"</formula>
    </cfRule>
    <cfRule type="expression" priority="18" dxfId="1">
      <formula>LEFT($C19,1)="✘"</formula>
    </cfRule>
  </conditionalFormatting>
  <conditionalFormatting sqref="C19:I19">
    <cfRule type="expression" priority="19" dxfId="2">
      <formula>LEFT($C19,1)="✔"</formula>
    </cfRule>
    <cfRule type="expression" priority="20" dxfId="3">
      <formula>LEFT($C19,1)="✘"</formula>
    </cfRule>
  </conditionalFormatting>
  <conditionalFormatting sqref="B20">
    <cfRule type="expression" priority="21" dxfId="0">
      <formula>LEFT($C20,1)="✔"</formula>
    </cfRule>
    <cfRule type="expression" priority="22" dxfId="1">
      <formula>LEFT($C20,1)="✘"</formula>
    </cfRule>
  </conditionalFormatting>
  <conditionalFormatting sqref="C20:I20">
    <cfRule type="expression" priority="23" dxfId="2">
      <formula>LEFT($C20,1)="✔"</formula>
    </cfRule>
    <cfRule type="expression" priority="24" dxfId="3">
      <formula>LEFT($C20,1)="✘"</formula>
    </cfRule>
  </conditionalFormatting>
  <conditionalFormatting sqref="B21">
    <cfRule type="expression" priority="25" dxfId="0">
      <formula>LEFT($C21,1)="✔"</formula>
    </cfRule>
    <cfRule type="expression" priority="26" dxfId="1">
      <formula>LEFT($C21,1)="✘"</formula>
    </cfRule>
  </conditionalFormatting>
  <conditionalFormatting sqref="C21:I21">
    <cfRule type="expression" priority="27" dxfId="2">
      <formula>LEFT($C21,1)="✔"</formula>
    </cfRule>
    <cfRule type="expression" priority="28" dxfId="3">
      <formula>LEFT($C21,1)="✘"</formula>
    </cfRule>
  </conditionalFormatting>
  <conditionalFormatting sqref="B22">
    <cfRule type="expression" priority="29" dxfId="0">
      <formula>LEFT($C22,1)="✔"</formula>
    </cfRule>
    <cfRule type="expression" priority="30" dxfId="1">
      <formula>LEFT($C22,1)="✘"</formula>
    </cfRule>
  </conditionalFormatting>
  <conditionalFormatting sqref="C22:I22">
    <cfRule type="expression" priority="31" dxfId="2">
      <formula>LEFT($C22,1)="✔"</formula>
    </cfRule>
    <cfRule type="expression" priority="32" dxfId="3">
      <formula>LEFT($C22,1)="✘"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F5FD0"/>
    <outlinePr summaryBelow="1" summaryRight="1"/>
    <pageSetUpPr/>
  </sheetPr>
  <dimension ref="A1:I22"/>
  <sheetViews>
    <sheetView showGridLines="1" zoomScale="11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8" t="inlineStr">
        <is>
          <t>Simulacro 2 · Pregunta 3 (2 puntos)</t>
        </is>
      </c>
      <c r="B1" s="9" t="n"/>
      <c r="C1" s="9" t="n"/>
      <c r="D1" s="9" t="n"/>
      <c r="E1" s="9" t="n"/>
      <c r="F1" s="9" t="n"/>
      <c r="G1" s="9" t="n"/>
    </row>
    <row r="2">
      <c r="A2" s="10" t="inlineStr">
        <is>
          <t>Salarios por sexo</t>
        </is>
      </c>
      <c r="E2" s="4" t="inlineStr">
        <is>
          <t>Aciertos:</t>
        </is>
      </c>
      <c r="F2" s="11">
        <f>SUMPRODUCT(--(LEFT($C$1:$C$28,1)="✔"))</f>
        <v/>
      </c>
      <c r="G2" s="4" t="inlineStr">
        <is>
          <t>de 9</t>
        </is>
      </c>
    </row>
    <row r="3"/>
    <row r="4">
      <c r="A4" s="12" t="inlineStr">
        <is>
          <t>Celdas azules: datos.  Celdas amarillas: tu respuesta (se ponen verdes si está bien y rojas si no).</t>
        </is>
      </c>
    </row>
    <row r="5"/>
    <row r="6">
      <c r="A6" s="13" t="inlineStr">
        <is>
          <t>Salario medio por grupo (€). Te dan el tamaño, la media y la DESVIACIÓN TÍPICA de cada grupo.</t>
        </is>
      </c>
    </row>
    <row r="7">
      <c r="A7" s="18" t="inlineStr">
        <is>
          <t>Grupo</t>
        </is>
      </c>
      <c r="B7" s="18" t="inlineStr">
        <is>
          <t>Tamaño T</t>
        </is>
      </c>
      <c r="C7" s="18" t="inlineStr">
        <is>
          <t>Media</t>
        </is>
      </c>
      <c r="D7" s="18" t="inlineStr">
        <is>
          <t>Desv. típica</t>
        </is>
      </c>
    </row>
    <row r="8">
      <c r="A8" s="19" t="inlineStr">
        <is>
          <t>Mujeres</t>
        </is>
      </c>
      <c r="B8" s="14" t="n">
        <v>60</v>
      </c>
      <c r="C8" s="14" t="n">
        <v>1980</v>
      </c>
      <c r="D8" s="14" t="n">
        <v>310</v>
      </c>
    </row>
    <row r="9">
      <c r="A9" s="19" t="inlineStr">
        <is>
          <t>Hombres</t>
        </is>
      </c>
      <c r="B9" s="14" t="n">
        <v>90</v>
      </c>
      <c r="C9" s="14" t="n">
        <v>2240</v>
      </c>
      <c r="D9" s="14" t="n">
        <v>420</v>
      </c>
    </row>
    <row r="10"/>
    <row r="11">
      <c r="A11" s="15" t="inlineStr">
        <is>
          <t>Preguntas</t>
        </is>
      </c>
    </row>
    <row r="12">
      <c r="A12" s="16" t="inlineStr">
        <is>
          <t>¿Qué grupo es más homogéneo? (escribe el nombre)</t>
        </is>
      </c>
      <c r="B12" s="17" t="n"/>
      <c r="C12" s="16">
        <f>IF(B12="","",IF(OR(UPPER(TRIM(B12))="MUJERES"),"✔ Bien","✘ Revisa la respuesta."))</f>
        <v/>
      </c>
    </row>
    <row r="13">
      <c r="A13" s="16" t="inlineStr">
        <is>
          <t>Media global</t>
        </is>
      </c>
      <c r="B13" s="17" t="n"/>
      <c r="C13" s="16">
        <f>IF(B13="","",IF(AND(ISNUMBER(B13),ABS(B13-Claves!$A$63)&lt;=2.136),"✔ Bien",IF(NOT(ISNUMBER(B13)),"✘ Escribe solo el número (sin texto ni %).",IF(ABS(B13-2110)&lt;=2.11,"✘ Has hecho la media de las medias sin ponderar por el tamaño de cada grupo.","✘ Revisa el cálculo."))))</f>
        <v/>
      </c>
    </row>
    <row r="14">
      <c r="A14" s="16" t="inlineStr">
        <is>
          <t>Varianza dentro de los grupos</t>
        </is>
      </c>
      <c r="B14" s="17" t="n"/>
      <c r="C14" s="16">
        <f>IF(B14="","",IF(AND(ISNUMBER(B14),ABS(B14-Claves!$A$64)&lt;=144.28),"✔ Bien",IF(NOT(ISNUMBER(B14)),"✘ Escribe solo el número (sin texto ni %).",IF(ABS(B14-376)&lt;=0.376,"✘ Has usado las desviaciones típicas. Hay que elevarlas al cuadrado (varianzas).","✘ Revisa el cálculo."))))</f>
        <v/>
      </c>
    </row>
    <row r="15">
      <c r="A15" s="16" t="inlineStr">
        <is>
          <t>Varianza entre los grupos</t>
        </is>
      </c>
      <c r="B15" s="17" t="n"/>
      <c r="C15" s="16">
        <f>IF(B15="","",IF(AND(ISNUMBER(B15),ABS(B15-Claves!$A$65)&lt;=16.224),"✔ Bien",IF(NOT(ISNUMBER(B15)),"✘ Escribe solo el número (sin texto ni %).","✘ Revisa el cálculo.")))</f>
        <v/>
      </c>
    </row>
    <row r="16">
      <c r="A16" s="16" t="inlineStr">
        <is>
          <t>Varianza total</t>
        </is>
      </c>
      <c r="B16" s="17" t="n"/>
      <c r="C16" s="16">
        <f>IF(B16="","",IF(AND(ISNUMBER(B16),ABS(B16-Claves!$A$66)&lt;=160.504),"✔ Bien",IF(NOT(ISNUMBER(B16)),"✘ Escribe solo el número (sin texto ni %).","✘ Revisa el cálculo.")))</f>
        <v/>
      </c>
    </row>
    <row r="17">
      <c r="A17" s="16" t="inlineStr">
        <is>
          <t>Desviación típica total</t>
        </is>
      </c>
      <c r="B17" s="17" t="n"/>
      <c r="C17" s="16">
        <f>IF(B17="","",IF(AND(ISNUMBER(B17),ABS(B17-Claves!$A$67)&lt;=0.40062950465486186),"✔ Bien",IF(NOT(ISNUMBER(B17)),"✘ Escribe solo el número (sin texto ni %).",IF(ABS(B17-160504)&lt;=160.504,"✘ Eso es la varianza. Haz la raíz cuadrada.","✘ Revisa el cálculo."))))</f>
        <v/>
      </c>
    </row>
    <row r="18" ht="30" customHeight="1">
      <c r="A18" s="16" t="inlineStr">
        <is>
          <t>% de la variabilidad debido a las diferencias entre grupos</t>
        </is>
      </c>
      <c r="B18" s="17" t="n"/>
      <c r="C18" s="16">
        <f>IF(B18="","",IF(AND(ISNUMBER(B18),OR(ABS(B18-Claves!$A$68)&lt;=0.00051,ABS(B18/100-Claves!$A$68)&lt;=0.00051)),"✔ Bien",IF(NOT(ISNUMBER(B18)),"✘ Escribe solo el número (sin texto ni %).",IF(OR(ABS(B18-0.8989184070178936)&lt;=0.0008989184070178936,ABS(B18/100-0.8989184070178936)&lt;=0.0008989184070178936),"✘ Ese es el % de dentro de los grupos.","✘ Revisa el cálculo."))))</f>
        <v/>
      </c>
    </row>
    <row r="19"/>
    <row r="20">
      <c r="A20" s="13" t="inlineStr">
        <is>
          <t>Si todos los salarios suben un 2 % y además 30 €:</t>
        </is>
      </c>
    </row>
    <row r="21">
      <c r="A21" s="16" t="inlineStr">
        <is>
          <t>Nueva media global</t>
        </is>
      </c>
      <c r="B21" s="17" t="n"/>
      <c r="C21" s="16">
        <f>IF(B21="","",IF(AND(ISNUMBER(B21),ABS(B21-Claves!$A$69)&lt;=2.2087200000000005),"✔ Bien",IF(NOT(ISNUMBER(B21)),"✘ Escribe solo el número (sin texto ni %).","✘ Revisa el cálculo.")))</f>
        <v/>
      </c>
    </row>
    <row r="22">
      <c r="A22" s="16" t="inlineStr">
        <is>
          <t>Nueva varianza total</t>
        </is>
      </c>
      <c r="B22" s="17" t="n"/>
      <c r="C22" s="16">
        <f>IF(B22="","",IF(AND(ISNUMBER(B22),ABS(B22-Claves!$A$70)&lt;=166.98836160000002),"✔ Bien",IF(NOT(ISNUMBER(B22)),"✘ Escribe solo el número (sin texto ni %).",IF(ABS(B22-163714.08000000002)&lt;=163.71408000000002,"✘ La varianza se multiplica por a² (no por a).","✘ Revisa el cálculo."))))</f>
        <v/>
      </c>
    </row>
  </sheetData>
  <mergeCells count="9">
    <mergeCell ref="C14:I14"/>
    <mergeCell ref="C13:I13"/>
    <mergeCell ref="C22:I22"/>
    <mergeCell ref="C18:I18"/>
    <mergeCell ref="C17:I17"/>
    <mergeCell ref="C21:I21"/>
    <mergeCell ref="C12:I12"/>
    <mergeCell ref="C16:I16"/>
    <mergeCell ref="C15:I15"/>
  </mergeCells>
  <conditionalFormatting sqref="B12">
    <cfRule type="expression" priority="1" dxfId="0">
      <formula>LEFT($C12,1)="✔"</formula>
    </cfRule>
    <cfRule type="expression" priority="2" dxfId="1">
      <formula>LEFT($C12,1)="✘"</formula>
    </cfRule>
  </conditionalFormatting>
  <conditionalFormatting sqref="C12:I12">
    <cfRule type="expression" priority="3" dxfId="2">
      <formula>LEFT($C12,1)="✔"</formula>
    </cfRule>
    <cfRule type="expression" priority="4" dxfId="3">
      <formula>LEFT($C12,1)="✘"</formula>
    </cfRule>
  </conditionalFormatting>
  <conditionalFormatting sqref="B13">
    <cfRule type="expression" priority="5" dxfId="0">
      <formula>LEFT($C13,1)="✔"</formula>
    </cfRule>
    <cfRule type="expression" priority="6" dxfId="1">
      <formula>LEFT($C13,1)="✘"</formula>
    </cfRule>
  </conditionalFormatting>
  <conditionalFormatting sqref="C13:I13">
    <cfRule type="expression" priority="7" dxfId="2">
      <formula>LEFT($C13,1)="✔"</formula>
    </cfRule>
    <cfRule type="expression" priority="8" dxfId="3">
      <formula>LEFT($C13,1)="✘"</formula>
    </cfRule>
  </conditionalFormatting>
  <conditionalFormatting sqref="B14">
    <cfRule type="expression" priority="9" dxfId="0">
      <formula>LEFT($C14,1)="✔"</formula>
    </cfRule>
    <cfRule type="expression" priority="10" dxfId="1">
      <formula>LEFT($C14,1)="✘"</formula>
    </cfRule>
  </conditionalFormatting>
  <conditionalFormatting sqref="C14:I14">
    <cfRule type="expression" priority="11" dxfId="2">
      <formula>LEFT($C14,1)="✔"</formula>
    </cfRule>
    <cfRule type="expression" priority="12" dxfId="3">
      <formula>LEFT($C14,1)="✘"</formula>
    </cfRule>
  </conditionalFormatting>
  <conditionalFormatting sqref="B15">
    <cfRule type="expression" priority="13" dxfId="0">
      <formula>LEFT($C15,1)="✔"</formula>
    </cfRule>
    <cfRule type="expression" priority="14" dxfId="1">
      <formula>LEFT($C15,1)="✘"</formula>
    </cfRule>
  </conditionalFormatting>
  <conditionalFormatting sqref="C15:I15">
    <cfRule type="expression" priority="15" dxfId="2">
      <formula>LEFT($C15,1)="✔"</formula>
    </cfRule>
    <cfRule type="expression" priority="16" dxfId="3">
      <formula>LEFT($C15,1)="✘"</formula>
    </cfRule>
  </conditionalFormatting>
  <conditionalFormatting sqref="B16">
    <cfRule type="expression" priority="17" dxfId="0">
      <formula>LEFT($C16,1)="✔"</formula>
    </cfRule>
    <cfRule type="expression" priority="18" dxfId="1">
      <formula>LEFT($C16,1)="✘"</formula>
    </cfRule>
  </conditionalFormatting>
  <conditionalFormatting sqref="C16:I16">
    <cfRule type="expression" priority="19" dxfId="2">
      <formula>LEFT($C16,1)="✔"</formula>
    </cfRule>
    <cfRule type="expression" priority="20" dxfId="3">
      <formula>LEFT($C16,1)="✘"</formula>
    </cfRule>
  </conditionalFormatting>
  <conditionalFormatting sqref="B17">
    <cfRule type="expression" priority="21" dxfId="0">
      <formula>LEFT($C17,1)="✔"</formula>
    </cfRule>
    <cfRule type="expression" priority="22" dxfId="1">
      <formula>LEFT($C17,1)="✘"</formula>
    </cfRule>
  </conditionalFormatting>
  <conditionalFormatting sqref="C17:I17">
    <cfRule type="expression" priority="23" dxfId="2">
      <formula>LEFT($C17,1)="✔"</formula>
    </cfRule>
    <cfRule type="expression" priority="24" dxfId="3">
      <formula>LEFT($C17,1)="✘"</formula>
    </cfRule>
  </conditionalFormatting>
  <conditionalFormatting sqref="B18">
    <cfRule type="expression" priority="25" dxfId="0">
      <formula>LEFT($C18,1)="✔"</formula>
    </cfRule>
    <cfRule type="expression" priority="26" dxfId="1">
      <formula>LEFT($C18,1)="✘"</formula>
    </cfRule>
  </conditionalFormatting>
  <conditionalFormatting sqref="C18:I18">
    <cfRule type="expression" priority="27" dxfId="2">
      <formula>LEFT($C18,1)="✔"</formula>
    </cfRule>
    <cfRule type="expression" priority="28" dxfId="3">
      <formula>LEFT($C18,1)="✘"</formula>
    </cfRule>
  </conditionalFormatting>
  <conditionalFormatting sqref="B21">
    <cfRule type="expression" priority="29" dxfId="0">
      <formula>LEFT($C21,1)="✔"</formula>
    </cfRule>
    <cfRule type="expression" priority="30" dxfId="1">
      <formula>LEFT($C21,1)="✘"</formula>
    </cfRule>
  </conditionalFormatting>
  <conditionalFormatting sqref="C21:I21">
    <cfRule type="expression" priority="31" dxfId="2">
      <formula>LEFT($C21,1)="✔"</formula>
    </cfRule>
    <cfRule type="expression" priority="32" dxfId="3">
      <formula>LEFT($C21,1)="✘"</formula>
    </cfRule>
  </conditionalFormatting>
  <conditionalFormatting sqref="B22">
    <cfRule type="expression" priority="33" dxfId="0">
      <formula>LEFT($C22,1)="✔"</formula>
    </cfRule>
    <cfRule type="expression" priority="34" dxfId="1">
      <formula>LEFT($C22,1)="✘"</formula>
    </cfRule>
  </conditionalFormatting>
  <conditionalFormatting sqref="C22:I22">
    <cfRule type="expression" priority="35" dxfId="2">
      <formula>LEFT($C22,1)="✔"</formula>
    </cfRule>
    <cfRule type="expression" priority="36" dxfId="3">
      <formula>LEFT($C22,1)="✘"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2185B"/>
    <outlinePr summaryBelow="1" summaryRight="1"/>
    <pageSetUpPr/>
  </sheetPr>
  <dimension ref="A1:I27"/>
  <sheetViews>
    <sheetView showGridLines="1" zoomScale="11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23" t="inlineStr">
        <is>
          <t>Simulacro 2 · Pregunta 4 (2 puntos)</t>
        </is>
      </c>
      <c r="B1" s="24" t="n"/>
      <c r="C1" s="24" t="n"/>
      <c r="D1" s="24" t="n"/>
      <c r="E1" s="24" t="n"/>
      <c r="F1" s="24" t="n"/>
      <c r="G1" s="24" t="n"/>
    </row>
    <row r="2">
      <c r="A2" s="10" t="inlineStr">
        <is>
          <t>Absentismo y satisfacción</t>
        </is>
      </c>
      <c r="E2" s="4" t="inlineStr">
        <is>
          <t>Aciertos:</t>
        </is>
      </c>
      <c r="F2" s="11">
        <f>SUMPRODUCT(--(LEFT($C$1:$C$33,1)="✔"))</f>
        <v/>
      </c>
      <c r="G2" s="4" t="inlineStr">
        <is>
          <t>de 9</t>
        </is>
      </c>
    </row>
    <row r="3"/>
    <row r="4">
      <c r="A4" s="12" t="inlineStr">
        <is>
          <t>Celdas azules: datos.  Celdas amarillas: tu respuesta (se ponen verdes si está bien y rojas si no).</t>
        </is>
      </c>
    </row>
    <row r="5"/>
    <row r="6">
      <c r="A6" s="13" t="inlineStr">
        <is>
          <t>Días de ausencia al año (X) y Satisfacción 0-10 (Y) de 9 casos.</t>
        </is>
      </c>
    </row>
    <row r="7">
      <c r="A7" s="18" t="inlineStr">
        <is>
          <t>X</t>
        </is>
      </c>
      <c r="B7" s="18" t="inlineStr">
        <is>
          <t>Y</t>
        </is>
      </c>
    </row>
    <row r="8">
      <c r="A8" s="14" t="n">
        <v>2</v>
      </c>
      <c r="B8" s="14" t="n">
        <v>8.4</v>
      </c>
    </row>
    <row r="9">
      <c r="A9" s="14" t="n">
        <v>3</v>
      </c>
      <c r="B9" s="14" t="n">
        <v>8.1</v>
      </c>
    </row>
    <row r="10">
      <c r="A10" s="14" t="n">
        <v>5</v>
      </c>
      <c r="B10" s="14" t="n">
        <v>7.2</v>
      </c>
    </row>
    <row r="11">
      <c r="A11" s="14" t="n">
        <v>6</v>
      </c>
      <c r="B11" s="14" t="n">
        <v>7.4</v>
      </c>
    </row>
    <row r="12">
      <c r="A12" s="14" t="n">
        <v>8</v>
      </c>
      <c r="B12" s="14" t="n">
        <v>6.1</v>
      </c>
    </row>
    <row r="13">
      <c r="A13" s="14" t="n">
        <v>9</v>
      </c>
      <c r="B13" s="14" t="n">
        <v>6.3</v>
      </c>
    </row>
    <row r="14">
      <c r="A14" s="14" t="n">
        <v>11</v>
      </c>
      <c r="B14" s="14" t="n">
        <v>5</v>
      </c>
    </row>
    <row r="15">
      <c r="A15" s="14" t="n">
        <v>12</v>
      </c>
      <c r="B15" s="14" t="n">
        <v>5.2</v>
      </c>
    </row>
    <row r="16">
      <c r="A16" s="14" t="n">
        <v>14</v>
      </c>
      <c r="B16" s="14" t="n">
        <v>4.1</v>
      </c>
    </row>
    <row r="17"/>
    <row r="18">
      <c r="A18" s="25" t="inlineStr">
        <is>
          <t>Preguntas</t>
        </is>
      </c>
    </row>
    <row r="19">
      <c r="A19" s="16" t="inlineStr">
        <is>
          <t>Media de X</t>
        </is>
      </c>
      <c r="B19" s="17" t="n"/>
      <c r="C19" s="16">
        <f>IF(B19="","",IF(AND(ISNUMBER(B19),ABS(B19-Claves!$A$71)&lt;=0.0077777777777777776),"✔ Bien",IF(NOT(ISNUMBER(B19)),"✘ Escribe solo el número (sin texto ni %).","✘ Revisa el cálculo.")))</f>
        <v/>
      </c>
    </row>
    <row r="20">
      <c r="A20" s="16" t="inlineStr">
        <is>
          <t>Media de Y</t>
        </is>
      </c>
      <c r="B20" s="17" t="n"/>
      <c r="C20" s="16">
        <f>IF(B20="","",IF(AND(ISNUMBER(B20),ABS(B20-Claves!$A$72)&lt;=0.006422222222222222),"✔ Bien",IF(NOT(ISNUMBER(B20)),"✘ Escribe solo el número (sin texto ni %).","✘ Revisa el cálculo.")))</f>
        <v/>
      </c>
    </row>
    <row r="21">
      <c r="A21" s="16" t="inlineStr">
        <is>
          <t>Covarianza</t>
        </is>
      </c>
      <c r="B21" s="17" t="n"/>
      <c r="C21" s="16">
        <f>IF(B21="","",IF(AND(ISNUMBER(B21),ABS(B21-Claves!$A$73)&lt;=0.005306172839506182),"✔ Bien",IF(NOT(ISNUMBER(B21)),"✘ Escribe solo el número (sin texto ni %).",IF(ABS(B21--5.969444444444455)&lt;=0.005969444444444455,"✘ Has usado COVARIANZA.M (divide entre n−1). En clase se usa COVARIANZA.P.","✘ Revisa el cálculo."))))</f>
        <v/>
      </c>
    </row>
    <row r="22">
      <c r="A22" s="16" t="inlineStr">
        <is>
          <t>Pendiente b (recta de Y sobre X)</t>
        </is>
      </c>
      <c r="B22" s="17" t="n"/>
      <c r="C22" s="16">
        <f>IF(B22="","",IF(AND(ISNUMBER(B22),ABS(B22-Claves!$A$74)&lt;=0.00051),"✔ Bien",IF(NOT(ISNUMBER(B22)),"✘ Escribe solo el número (sin texto ni %).",IF(ABS(B22--2.757956878850107)&lt;=0.002757956878850107,"✘ Esa es la pendiente de X sobre Y. En PENDIENTE va primero la Y: =PENDIENTE(Y;X).",IF(ABS(B22--1.3672375782672277)&lt;=0.0013672375782672278,"✘ b = Sxy / Sx² (la VARIANZA de X, no la desviación).","✘ Revisa el cálculo.")))))</f>
        <v/>
      </c>
    </row>
    <row r="23">
      <c r="A23" s="16" t="inlineStr">
        <is>
          <t>Término independiente a</t>
        </is>
      </c>
      <c r="B23" s="17" t="n"/>
      <c r="C23" s="16">
        <f>IF(B23="","",IF(AND(ISNUMBER(B23),ABS(B23-Claves!$A$75)&lt;=0.009162295081967219),"✔ Bien",IF(NOT(ISNUMBER(B23)),"✘ Escribe solo el número (sin texto ni %).",IF(ABS(B23-25.489989733059577)&lt;=0.025489989733059576,"✘ Ese es el de la recta de X sobre Y. Usa =INTERSECCION.EJE(Y;X).","✘ Revisa el cálculo."))))</f>
        <v/>
      </c>
    </row>
    <row r="24">
      <c r="A24" s="16" t="inlineStr">
        <is>
          <t>Coeficiente de correlación r</t>
        </is>
      </c>
      <c r="B24" s="17" t="n"/>
      <c r="C24" s="16">
        <f>IF(B24="","",IF(AND(ISNUMBER(B24),ABS(B24-Claves!$A$76)&lt;=0.0009857051509942207),"✔ Bien",IF(NOT(ISNUMBER(B24)),"✘ Escribe solo el número (sin texto ni %).",IF(ABS(B24-0.9857051509942207)&lt;=0.0009857051509942207,"✘ Fíjate en el signo: r tiene el mismo signo que la pendiente.","✘ Revisa el cálculo."))))</f>
        <v/>
      </c>
    </row>
    <row r="25">
      <c r="A25" s="16" t="inlineStr">
        <is>
          <t>Coeficiente de determinación R² (decimal)</t>
        </is>
      </c>
      <c r="B25" s="17" t="n"/>
      <c r="C25" s="16">
        <f>IF(B25="","",IF(AND(ISNUMBER(B25),OR(ABS(B25-Claves!$A$77)&lt;=0.0009716146446965395,ABS(B25/100-Claves!$A$77)&lt;=0.0009716146446965395)),"✔ Bien",IF(NOT(ISNUMBER(B25)),"✘ Escribe solo el número (sin texto ni %).",IF(OR(ABS(B25--0.9857051509942207)&lt;=0.0009857051509942207,ABS(B25/100--0.9857051509942207)&lt;=0.0009857051509942207),"✘ Eso es r. R² es r al cuadrado.","✘ Revisa el cálculo."))))</f>
        <v/>
      </c>
    </row>
    <row r="26">
      <c r="A26" s="16" t="inlineStr">
        <is>
          <t>Predicción de Y para X = 10</t>
        </is>
      </c>
      <c r="B26" s="17" t="n"/>
      <c r="C26" s="16">
        <f>IF(B26="","",IF(AND(ISNUMBER(B26),ABS(B26-Claves!$A$78)&lt;=0.005639344262295082),"✔ Bien",IF(NOT(ISNUMBER(B26)),"✘ Escribe solo el número (sin texto ni %).",IF(ABS(B26--2.0895790554414937)&lt;=0.0051,"✘ Has usado la recta de X sobre Y.","✘ Revisa el cálculo."))))</f>
        <v/>
      </c>
    </row>
    <row r="27" ht="30" customHeight="1">
      <c r="A27" s="16" t="inlineStr">
        <is>
          <t>% de la variabilidad de Y que NO explica la recta</t>
        </is>
      </c>
      <c r="B27" s="17" t="n"/>
      <c r="C27" s="16">
        <f>IF(B27="","",IF(AND(ISNUMBER(B27),OR(ABS(B27-Claves!$A$79)&lt;=0.00051,ABS(B27/100-Claves!$A$79)&lt;=0.00051)),"✔ Bien",IF(NOT(ISNUMBER(B27)),"✘ Escribe solo el número (sin texto ni %).",IF(OR(ABS(B27-0.9716146446965395)&lt;=0.0009716146446965395,ABS(B27/100-0.9716146446965395)&lt;=0.0009716146446965395),"✘ Ese es el % que SÍ explica (R²). El no explicado es 1 − R².","✘ Revisa el cálculo."))))</f>
        <v/>
      </c>
    </row>
  </sheetData>
  <mergeCells count="9">
    <mergeCell ref="C23:I23"/>
    <mergeCell ref="C22:I22"/>
    <mergeCell ref="C26:I26"/>
    <mergeCell ref="C21:I21"/>
    <mergeCell ref="C20:I20"/>
    <mergeCell ref="C24:I24"/>
    <mergeCell ref="C25:I25"/>
    <mergeCell ref="C27:I27"/>
    <mergeCell ref="C19:I19"/>
  </mergeCells>
  <conditionalFormatting sqref="B19">
    <cfRule type="expression" priority="1" dxfId="0">
      <formula>LEFT($C19,1)="✔"</formula>
    </cfRule>
    <cfRule type="expression" priority="2" dxfId="1">
      <formula>LEFT($C19,1)="✘"</formula>
    </cfRule>
  </conditionalFormatting>
  <conditionalFormatting sqref="C19:I19">
    <cfRule type="expression" priority="3" dxfId="2">
      <formula>LEFT($C19,1)="✔"</formula>
    </cfRule>
    <cfRule type="expression" priority="4" dxfId="3">
      <formula>LEFT($C19,1)="✘"</formula>
    </cfRule>
  </conditionalFormatting>
  <conditionalFormatting sqref="B20">
    <cfRule type="expression" priority="5" dxfId="0">
      <formula>LEFT($C20,1)="✔"</formula>
    </cfRule>
    <cfRule type="expression" priority="6" dxfId="1">
      <formula>LEFT($C20,1)="✘"</formula>
    </cfRule>
  </conditionalFormatting>
  <conditionalFormatting sqref="C20:I20">
    <cfRule type="expression" priority="7" dxfId="2">
      <formula>LEFT($C20,1)="✔"</formula>
    </cfRule>
    <cfRule type="expression" priority="8" dxfId="3">
      <formula>LEFT($C20,1)="✘"</formula>
    </cfRule>
  </conditionalFormatting>
  <conditionalFormatting sqref="B21">
    <cfRule type="expression" priority="9" dxfId="0">
      <formula>LEFT($C21,1)="✔"</formula>
    </cfRule>
    <cfRule type="expression" priority="10" dxfId="1">
      <formula>LEFT($C21,1)="✘"</formula>
    </cfRule>
  </conditionalFormatting>
  <conditionalFormatting sqref="C21:I21">
    <cfRule type="expression" priority="11" dxfId="2">
      <formula>LEFT($C21,1)="✔"</formula>
    </cfRule>
    <cfRule type="expression" priority="12" dxfId="3">
      <formula>LEFT($C21,1)="✘"</formula>
    </cfRule>
  </conditionalFormatting>
  <conditionalFormatting sqref="B22">
    <cfRule type="expression" priority="13" dxfId="0">
      <formula>LEFT($C22,1)="✔"</formula>
    </cfRule>
    <cfRule type="expression" priority="14" dxfId="1">
      <formula>LEFT($C22,1)="✘"</formula>
    </cfRule>
  </conditionalFormatting>
  <conditionalFormatting sqref="C22:I22">
    <cfRule type="expression" priority="15" dxfId="2">
      <formula>LEFT($C22,1)="✔"</formula>
    </cfRule>
    <cfRule type="expression" priority="16" dxfId="3">
      <formula>LEFT($C22,1)="✘"</formula>
    </cfRule>
  </conditionalFormatting>
  <conditionalFormatting sqref="B23">
    <cfRule type="expression" priority="17" dxfId="0">
      <formula>LEFT($C23,1)="✔"</formula>
    </cfRule>
    <cfRule type="expression" priority="18" dxfId="1">
      <formula>LEFT($C23,1)="✘"</formula>
    </cfRule>
  </conditionalFormatting>
  <conditionalFormatting sqref="C23:I23">
    <cfRule type="expression" priority="19" dxfId="2">
      <formula>LEFT($C23,1)="✔"</formula>
    </cfRule>
    <cfRule type="expression" priority="20" dxfId="3">
      <formula>LEFT($C23,1)="✘"</formula>
    </cfRule>
  </conditionalFormatting>
  <conditionalFormatting sqref="B24">
    <cfRule type="expression" priority="21" dxfId="0">
      <formula>LEFT($C24,1)="✔"</formula>
    </cfRule>
    <cfRule type="expression" priority="22" dxfId="1">
      <formula>LEFT($C24,1)="✘"</formula>
    </cfRule>
  </conditionalFormatting>
  <conditionalFormatting sqref="C24:I24">
    <cfRule type="expression" priority="23" dxfId="2">
      <formula>LEFT($C24,1)="✔"</formula>
    </cfRule>
    <cfRule type="expression" priority="24" dxfId="3">
      <formula>LEFT($C24,1)="✘"</formula>
    </cfRule>
  </conditionalFormatting>
  <conditionalFormatting sqref="B25">
    <cfRule type="expression" priority="25" dxfId="0">
      <formula>LEFT($C25,1)="✔"</formula>
    </cfRule>
    <cfRule type="expression" priority="26" dxfId="1">
      <formula>LEFT($C25,1)="✘"</formula>
    </cfRule>
  </conditionalFormatting>
  <conditionalFormatting sqref="C25:I25">
    <cfRule type="expression" priority="27" dxfId="2">
      <formula>LEFT($C25,1)="✔"</formula>
    </cfRule>
    <cfRule type="expression" priority="28" dxfId="3">
      <formula>LEFT($C25,1)="✘"</formula>
    </cfRule>
  </conditionalFormatting>
  <conditionalFormatting sqref="B26">
    <cfRule type="expression" priority="29" dxfId="0">
      <formula>LEFT($C26,1)="✔"</formula>
    </cfRule>
    <cfRule type="expression" priority="30" dxfId="1">
      <formula>LEFT($C26,1)="✘"</formula>
    </cfRule>
  </conditionalFormatting>
  <conditionalFormatting sqref="C26:I26">
    <cfRule type="expression" priority="31" dxfId="2">
      <formula>LEFT($C26,1)="✔"</formula>
    </cfRule>
    <cfRule type="expression" priority="32" dxfId="3">
      <formula>LEFT($C26,1)="✘"</formula>
    </cfRule>
  </conditionalFormatting>
  <conditionalFormatting sqref="B27">
    <cfRule type="expression" priority="33" dxfId="0">
      <formula>LEFT($C27,1)="✔"</formula>
    </cfRule>
    <cfRule type="expression" priority="34" dxfId="1">
      <formula>LEFT($C27,1)="✘"</formula>
    </cfRule>
  </conditionalFormatting>
  <conditionalFormatting sqref="C27:I27">
    <cfRule type="expression" priority="35" dxfId="2">
      <formula>LEFT($C27,1)="✔"</formula>
    </cfRule>
    <cfRule type="expression" priority="36" dxfId="3">
      <formula>LEFT($C27,1)="✘"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A86F00"/>
    <outlinePr summaryBelow="1" summaryRight="1"/>
    <pageSetUpPr/>
  </sheetPr>
  <dimension ref="A1:I18"/>
  <sheetViews>
    <sheetView showGridLines="1" zoomScale="11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26" t="inlineStr">
        <is>
          <t>Simulacro 2 · Pregunta 5 (2 puntos)</t>
        </is>
      </c>
      <c r="B1" s="27" t="n"/>
      <c r="C1" s="27" t="n"/>
      <c r="D1" s="27" t="n"/>
      <c r="E1" s="27" t="n"/>
      <c r="F1" s="27" t="n"/>
      <c r="G1" s="27" t="n"/>
    </row>
    <row r="2">
      <c r="A2" s="10" t="inlineStr">
        <is>
          <t>Índices y tasas</t>
        </is>
      </c>
      <c r="E2" s="4" t="inlineStr">
        <is>
          <t>Aciertos:</t>
        </is>
      </c>
      <c r="F2" s="11">
        <f>SUMPRODUCT(--(LEFT($C$1:$C$24,1)="✔"))</f>
        <v/>
      </c>
      <c r="G2" s="4" t="inlineStr">
        <is>
          <t>de 2</t>
        </is>
      </c>
    </row>
    <row r="3"/>
    <row r="4">
      <c r="A4" s="12" t="inlineStr">
        <is>
          <t>Celdas azules: datos.  Celdas amarillas: tu respuesta (se ponen verdes si está bien y rojas si no).</t>
        </is>
      </c>
    </row>
    <row r="5"/>
    <row r="6">
      <c r="A6" s="13" t="inlineStr">
        <is>
          <t>Ventas anuales de una empresa (miles de €).</t>
        </is>
      </c>
    </row>
    <row r="7">
      <c r="A7" s="29" t="inlineStr">
        <is>
          <t>💡 Índice base 2020 = valor/valor 2020 × 100. Tasa = valor/anterior − 1. Tasa media anual = (1 + tasa total)^(1/nº de años) − 1.</t>
        </is>
      </c>
    </row>
    <row r="8">
      <c r="A8" s="18" t="inlineStr">
        <is>
          <t>Año</t>
        </is>
      </c>
      <c r="B8" s="18" t="inlineStr">
        <is>
          <t>Ventas</t>
        </is>
      </c>
      <c r="C8" s="18" t="inlineStr">
        <is>
          <t>Índice base 2020</t>
        </is>
      </c>
      <c r="D8" s="18" t="inlineStr">
        <is>
          <t>Tasa vs año anterior</t>
        </is>
      </c>
      <c r="E8" s="18" t="inlineStr">
        <is>
          <t>Índice base 2022</t>
        </is>
      </c>
    </row>
    <row r="9" ht="30" customHeight="1">
      <c r="A9" s="30" t="inlineStr">
        <is>
          <t>Pista →</t>
        </is>
      </c>
      <c r="C9" s="31" t="inlineStr">
        <is>
          <t>ej. =B/B$2020*100</t>
        </is>
      </c>
      <c r="D9" s="31" t="inlineStr">
        <is>
          <t>ej. =B/B anterior−1</t>
        </is>
      </c>
      <c r="E9" s="31" t="inlineStr">
        <is>
          <t>ej. =índice/índice 2022*100</t>
        </is>
      </c>
    </row>
    <row r="10">
      <c r="A10" s="14" t="n">
        <v>2020</v>
      </c>
      <c r="B10" s="14" t="n">
        <v>1250</v>
      </c>
      <c r="C10" s="32" t="n"/>
      <c r="D10" s="32" t="n"/>
      <c r="E10" s="32" t="n"/>
    </row>
    <row r="11">
      <c r="A11" s="14" t="n">
        <v>2021</v>
      </c>
      <c r="B11" s="14" t="n">
        <v>1300</v>
      </c>
      <c r="C11" s="32" t="n"/>
      <c r="D11" s="32" t="n"/>
      <c r="E11" s="32" t="n"/>
    </row>
    <row r="12">
      <c r="A12" s="14" t="n">
        <v>2022</v>
      </c>
      <c r="B12" s="14" t="n">
        <v>1365</v>
      </c>
      <c r="C12" s="32" t="n"/>
      <c r="D12" s="32" t="n"/>
      <c r="E12" s="32" t="n"/>
    </row>
    <row r="13">
      <c r="A13" s="14" t="n">
        <v>2023</v>
      </c>
      <c r="B13" s="14" t="n">
        <v>1350</v>
      </c>
      <c r="C13" s="32" t="n"/>
      <c r="D13" s="32" t="n"/>
      <c r="E13" s="32" t="n"/>
    </row>
    <row r="14">
      <c r="A14" s="14" t="n">
        <v>2024</v>
      </c>
      <c r="B14" s="14" t="n">
        <v>1420</v>
      </c>
      <c r="C14" s="32" t="n"/>
      <c r="D14" s="32" t="n"/>
      <c r="E14" s="32" t="n"/>
    </row>
    <row r="15"/>
    <row r="16">
      <c r="A16" s="28" t="inlineStr">
        <is>
          <t>Preguntas</t>
        </is>
      </c>
    </row>
    <row r="17">
      <c r="A17" s="16" t="inlineStr">
        <is>
          <t>Tasa de variación total 2020-2024 (decimal)</t>
        </is>
      </c>
      <c r="B17" s="17" t="n"/>
      <c r="C17" s="16">
        <f>IF(B17="","",IF(AND(ISNUMBER(B17),OR(ABS(B17-Claves!$A$95)&lt;=0.0001359999999999999,ABS(B17/100-Claves!$A$95)&lt;=0.0001359999999999999)),"✔ Bien",IF(NOT(ISNUMBER(B17)),"✘ Escribe solo el número (sin texto ni %).","✘ Revisa el cálculo.")))</f>
        <v/>
      </c>
    </row>
    <row r="18">
      <c r="A18" s="16" t="inlineStr">
        <is>
          <t>Tasa media anual 2020-2024 (decimal)</t>
        </is>
      </c>
      <c r="B18" s="17" t="n"/>
      <c r="C18" s="16">
        <f>IF(B18="","",IF(AND(ISNUMBER(B18),OR(ABS(B18-Claves!$A$96)&lt;=5.1000000000000006e-05,ABS(B18/100-Claves!$A$96)&lt;=5.1000000000000006e-05)),"✔ Bien",IF(NOT(ISNUMBER(B18)),"✘ Escribe solo el número (sin texto ni %).",IF(OR(ABS(B18-0.032715710215710236)&lt;=5.1000000000000006e-05,ABS(B18/100-0.032715710215710236)&lt;=5.1000000000000006e-05),"✘ Has hecho la media aritmética de las tasas. Hay que usar la media geométrica: (1+T)^(1/4) − 1.",IF(OR(ABS(B18-0.033999999999999975)&lt;=5.1000000000000006e-05,ABS(B18/100-0.033999999999999975)&lt;=5.1000000000000006e-05),"✘ No se divide la tasa entre 4: (1+T)^(1/4) − 1.",IF(OR(ABS(B18-0.025830639140963285)&lt;=5.1000000000000006e-05,ABS(B18/100-0.025830639140963285)&lt;=5.1000000000000006e-05),"✘ De 2020 a 2024 hay 4 años, no 5.","✘ Revisa el cálculo."))))))</f>
        <v/>
      </c>
    </row>
  </sheetData>
  <mergeCells count="2">
    <mergeCell ref="C17:I17"/>
    <mergeCell ref="C18:I18"/>
  </mergeCells>
  <conditionalFormatting sqref="C10">
    <cfRule type="expression" priority="1" dxfId="0">
      <formula>AND(C10&lt;&gt;"",ISNUMBER(C10),ABS(C10-Claves!$A$80)&lt;=0.1)</formula>
    </cfRule>
    <cfRule type="expression" priority="2" dxfId="1">
      <formula>AND(C10&lt;&gt;"",OR(NOT(ISNUMBER(C10)),ABS(C10-Claves!$A$80)&gt;0.1))</formula>
    </cfRule>
  </conditionalFormatting>
  <conditionalFormatting sqref="D10">
    <cfRule type="expression" priority="3" dxfId="0">
      <formula>AND(D10&lt;&gt;"",ISNUMBER(D10),ABS(D10-Claves!$A$81)&lt;=5.1000000000000006e-05)</formula>
    </cfRule>
    <cfRule type="expression" priority="4" dxfId="1">
      <formula>AND(D10&lt;&gt;"",OR(NOT(ISNUMBER(D10)),ABS(D10-Claves!$A$81)&gt;5.1000000000000006e-05))</formula>
    </cfRule>
  </conditionalFormatting>
  <conditionalFormatting sqref="E10">
    <cfRule type="expression" priority="5" dxfId="0">
      <formula>AND(E10&lt;&gt;"",ISNUMBER(E10),ABS(E10-Claves!$A$82)&lt;=0.09157509157509158)</formula>
    </cfRule>
    <cfRule type="expression" priority="6" dxfId="1">
      <formula>AND(E10&lt;&gt;"",OR(NOT(ISNUMBER(E10)),ABS(E10-Claves!$A$82)&gt;0.09157509157509158))</formula>
    </cfRule>
  </conditionalFormatting>
  <conditionalFormatting sqref="C11">
    <cfRule type="expression" priority="7" dxfId="0">
      <formula>AND(C11&lt;&gt;"",ISNUMBER(C11),ABS(C11-Claves!$A$83)&lt;=0.10400000000000001)</formula>
    </cfRule>
    <cfRule type="expression" priority="8" dxfId="1">
      <formula>AND(C11&lt;&gt;"",OR(NOT(ISNUMBER(C11)),ABS(C11-Claves!$A$83)&gt;0.10400000000000001))</formula>
    </cfRule>
  </conditionalFormatting>
  <conditionalFormatting sqref="D11">
    <cfRule type="expression" priority="9" dxfId="0">
      <formula>AND(D11&lt;&gt;"",ISNUMBER(D11),ABS(D11-Claves!$A$84)&lt;=5.1000000000000006e-05)</formula>
    </cfRule>
    <cfRule type="expression" priority="10" dxfId="1">
      <formula>AND(D11&lt;&gt;"",OR(NOT(ISNUMBER(D11)),ABS(D11-Claves!$A$84)&gt;5.1000000000000006e-05))</formula>
    </cfRule>
  </conditionalFormatting>
  <conditionalFormatting sqref="E11">
    <cfRule type="expression" priority="11" dxfId="0">
      <formula>AND(E11&lt;&gt;"",ISNUMBER(E11),ABS(E11-Claves!$A$85)&lt;=0.09523809523809523)</formula>
    </cfRule>
    <cfRule type="expression" priority="12" dxfId="1">
      <formula>AND(E11&lt;&gt;"",OR(NOT(ISNUMBER(E11)),ABS(E11-Claves!$A$85)&gt;0.09523809523809523))</formula>
    </cfRule>
  </conditionalFormatting>
  <conditionalFormatting sqref="C12">
    <cfRule type="expression" priority="13" dxfId="0">
      <formula>AND(C12&lt;&gt;"",ISNUMBER(C12),ABS(C12-Claves!$A$86)&lt;=0.1092)</formula>
    </cfRule>
    <cfRule type="expression" priority="14" dxfId="1">
      <formula>AND(C12&lt;&gt;"",OR(NOT(ISNUMBER(C12)),ABS(C12-Claves!$A$86)&gt;0.1092))</formula>
    </cfRule>
  </conditionalFormatting>
  <conditionalFormatting sqref="D12">
    <cfRule type="expression" priority="15" dxfId="0">
      <formula>AND(D12&lt;&gt;"",ISNUMBER(D12),ABS(D12-Claves!$A$87)&lt;=5.1000000000000006e-05)</formula>
    </cfRule>
    <cfRule type="expression" priority="16" dxfId="1">
      <formula>AND(D12&lt;&gt;"",OR(NOT(ISNUMBER(D12)),ABS(D12-Claves!$A$87)&gt;5.1000000000000006e-05))</formula>
    </cfRule>
  </conditionalFormatting>
  <conditionalFormatting sqref="E12">
    <cfRule type="expression" priority="17" dxfId="0">
      <formula>AND(E12&lt;&gt;"",ISNUMBER(E12),ABS(E12-Claves!$A$88)&lt;=0.1)</formula>
    </cfRule>
    <cfRule type="expression" priority="18" dxfId="1">
      <formula>AND(E12&lt;&gt;"",OR(NOT(ISNUMBER(E12)),ABS(E12-Claves!$A$88)&gt;0.1))</formula>
    </cfRule>
  </conditionalFormatting>
  <conditionalFormatting sqref="C13">
    <cfRule type="expression" priority="19" dxfId="0">
      <formula>AND(C13&lt;&gt;"",ISNUMBER(C13),ABS(C13-Claves!$A$89)&lt;=0.108)</formula>
    </cfRule>
    <cfRule type="expression" priority="20" dxfId="1">
      <formula>AND(C13&lt;&gt;"",OR(NOT(ISNUMBER(C13)),ABS(C13-Claves!$A$89)&gt;0.108))</formula>
    </cfRule>
  </conditionalFormatting>
  <conditionalFormatting sqref="D13">
    <cfRule type="expression" priority="21" dxfId="0">
      <formula>AND(D13&lt;&gt;"",ISNUMBER(D13),ABS(D13-Claves!$A$90)&lt;=5.1000000000000006e-05)</formula>
    </cfRule>
    <cfRule type="expression" priority="22" dxfId="1">
      <formula>AND(D13&lt;&gt;"",OR(NOT(ISNUMBER(D13)),ABS(D13-Claves!$A$90)&gt;5.1000000000000006e-05))</formula>
    </cfRule>
  </conditionalFormatting>
  <conditionalFormatting sqref="E13">
    <cfRule type="expression" priority="23" dxfId="0">
      <formula>AND(E13&lt;&gt;"",ISNUMBER(E13),ABS(E13-Claves!$A$91)&lt;=0.09890109890109891)</formula>
    </cfRule>
    <cfRule type="expression" priority="24" dxfId="1">
      <formula>AND(E13&lt;&gt;"",OR(NOT(ISNUMBER(E13)),ABS(E13-Claves!$A$91)&gt;0.09890109890109891))</formula>
    </cfRule>
  </conditionalFormatting>
  <conditionalFormatting sqref="C14">
    <cfRule type="expression" priority="25" dxfId="0">
      <formula>AND(C14&lt;&gt;"",ISNUMBER(C14),ABS(C14-Claves!$A$92)&lt;=0.11359999999999999)</formula>
    </cfRule>
    <cfRule type="expression" priority="26" dxfId="1">
      <formula>AND(C14&lt;&gt;"",OR(NOT(ISNUMBER(C14)),ABS(C14-Claves!$A$92)&gt;0.11359999999999999))</formula>
    </cfRule>
  </conditionalFormatting>
  <conditionalFormatting sqref="D14">
    <cfRule type="expression" priority="27" dxfId="0">
      <formula>AND(D14&lt;&gt;"",ISNUMBER(D14),ABS(D14-Claves!$A$93)&lt;=5.1851851851851816e-05)</formula>
    </cfRule>
    <cfRule type="expression" priority="28" dxfId="1">
      <formula>AND(D14&lt;&gt;"",OR(NOT(ISNUMBER(D14)),ABS(D14-Claves!$A$93)&gt;5.1851851851851816e-05))</formula>
    </cfRule>
  </conditionalFormatting>
  <conditionalFormatting sqref="E14">
    <cfRule type="expression" priority="29" dxfId="0">
      <formula>AND(E14&lt;&gt;"",ISNUMBER(E14),ABS(E14-Claves!$A$94)&lt;=0.10402930402930405)</formula>
    </cfRule>
    <cfRule type="expression" priority="30" dxfId="1">
      <formula>AND(E14&lt;&gt;"",OR(NOT(ISNUMBER(E14)),ABS(E14-Claves!$A$94)&gt;0.10402930402930405))</formula>
    </cfRule>
  </conditionalFormatting>
  <conditionalFormatting sqref="B17">
    <cfRule type="expression" priority="31" dxfId="0">
      <formula>LEFT($C17,1)="✔"</formula>
    </cfRule>
    <cfRule type="expression" priority="32" dxfId="1">
      <formula>LEFT($C17,1)="✘"</formula>
    </cfRule>
  </conditionalFormatting>
  <conditionalFormatting sqref="C17:I17">
    <cfRule type="expression" priority="33" dxfId="2">
      <formula>LEFT($C17,1)="✔"</formula>
    </cfRule>
    <cfRule type="expression" priority="34" dxfId="3">
      <formula>LEFT($C17,1)="✘"</formula>
    </cfRule>
  </conditionalFormatting>
  <conditionalFormatting sqref="B18">
    <cfRule type="expression" priority="35" dxfId="0">
      <formula>LEFT($C18,1)="✔"</formula>
    </cfRule>
    <cfRule type="expression" priority="36" dxfId="1">
      <formula>LEFT($C18,1)="✘"</formula>
    </cfRule>
  </conditionalFormatting>
  <conditionalFormatting sqref="C18:I18">
    <cfRule type="expression" priority="37" dxfId="2">
      <formula>LEFT($C18,1)="✔"</formula>
    </cfRule>
    <cfRule type="expression" priority="38" dxfId="3">
      <formula>LEFT($C18,1)="✘"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t="n">
        <v>25</v>
      </c>
    </row>
    <row r="2">
      <c r="A2" t="n">
        <v>1.56</v>
      </c>
    </row>
    <row r="3">
      <c r="A3" t="n">
        <v>1</v>
      </c>
    </row>
    <row r="4">
      <c r="A4" t="n">
        <v>0</v>
      </c>
    </row>
    <row r="5">
      <c r="A5" t="n">
        <v>0</v>
      </c>
    </row>
    <row r="6">
      <c r="A6" t="n">
        <v>2</v>
      </c>
    </row>
    <row r="7">
      <c r="A7" t="n">
        <v>4.0864</v>
      </c>
    </row>
    <row r="8">
      <c r="A8" t="n">
        <v>4.256666666666667</v>
      </c>
    </row>
    <row r="9">
      <c r="A9" t="n">
        <v>2.021484602958925</v>
      </c>
    </row>
    <row r="10">
      <c r="A10" t="n">
        <v>1.295823463435208</v>
      </c>
    </row>
    <row r="11">
      <c r="A11" t="n">
        <v>0.2</v>
      </c>
    </row>
    <row r="12">
      <c r="A12" t="n">
        <v>9</v>
      </c>
    </row>
    <row r="13">
      <c r="A13" t="n">
        <v>110</v>
      </c>
    </row>
    <row r="14">
      <c r="A14" t="n">
        <v>1674.545454545455</v>
      </c>
    </row>
    <row r="15">
      <c r="A15" t="n">
        <v>206806.6115702479</v>
      </c>
    </row>
    <row r="16">
      <c r="A16" t="n">
        <v>454.7599493911572</v>
      </c>
    </row>
    <row r="17">
      <c r="A17" t="n">
        <v>0.2715721739035141</v>
      </c>
    </row>
    <row r="18">
      <c r="A18" t="n">
        <v>1570.588235294118</v>
      </c>
    </row>
    <row r="19">
      <c r="A19" t="n">
        <v>1602.631578947368</v>
      </c>
    </row>
    <row r="20">
      <c r="A20" t="n">
        <v>2275</v>
      </c>
    </row>
    <row r="21">
      <c r="A21" t="n">
        <v>140</v>
      </c>
    </row>
    <row r="22">
      <c r="A22" t="n">
        <v>52</v>
      </c>
    </row>
    <row r="23">
      <c r="A23" t="n">
        <v>0.1285714285714286</v>
      </c>
    </row>
    <row r="24">
      <c r="A24" t="n">
        <v>0.09183673469387756</v>
      </c>
    </row>
    <row r="25">
      <c r="A25" t="n">
        <v>0.6</v>
      </c>
    </row>
    <row r="26">
      <c r="A26" t="n">
        <v>0.3333333333333333</v>
      </c>
    </row>
    <row r="27">
      <c r="A27" t="inlineStr">
        <is>
          <t>No</t>
        </is>
      </c>
    </row>
    <row r="28">
      <c r="A28" t="n">
        <v>14.125</v>
      </c>
    </row>
    <row r="29">
      <c r="A29" t="n">
        <v>73.875</v>
      </c>
    </row>
    <row r="30">
      <c r="A30" t="n">
        <v>49.265625</v>
      </c>
    </row>
    <row r="31">
      <c r="A31" t="n">
        <v>1.267792521109771</v>
      </c>
    </row>
    <row r="32">
      <c r="A32" t="n">
        <v>55.96743063932449</v>
      </c>
    </row>
    <row r="33">
      <c r="A33" t="n">
        <v>0.9889714610569907</v>
      </c>
    </row>
    <row r="34">
      <c r="A34" t="n">
        <v>0.9780645507851989</v>
      </c>
    </row>
    <row r="35">
      <c r="A35" t="n">
        <v>83.85886610373944</v>
      </c>
    </row>
    <row r="36">
      <c r="A36" t="n">
        <v>0.02193544921480106</v>
      </c>
    </row>
    <row r="37">
      <c r="A37" t="n">
        <v>116.875</v>
      </c>
    </row>
    <row r="38">
      <c r="A38" t="n">
        <v>116.3934426229508</v>
      </c>
    </row>
    <row r="39">
      <c r="A39" t="n">
        <v>116.6339727804784</v>
      </c>
    </row>
    <row r="40">
      <c r="A40" t="n">
        <v>2122.040072859745</v>
      </c>
    </row>
    <row r="41">
      <c r="A41" t="n">
        <v>0.1095238095238096</v>
      </c>
    </row>
    <row r="42">
      <c r="A42" t="n">
        <v>0.01049527279035489</v>
      </c>
    </row>
    <row r="43">
      <c r="A43" t="n">
        <v>28</v>
      </c>
    </row>
    <row r="44">
      <c r="A44" t="n">
        <v>1.464285714285714</v>
      </c>
    </row>
    <row r="45">
      <c r="A45" t="n">
        <v>1</v>
      </c>
    </row>
    <row r="46">
      <c r="A46" t="n">
        <v>1</v>
      </c>
    </row>
    <row r="47">
      <c r="A47" t="n">
        <v>1</v>
      </c>
    </row>
    <row r="48">
      <c r="A48" t="n">
        <v>2</v>
      </c>
    </row>
    <row r="49">
      <c r="A49" t="n">
        <v>1.748724489795918</v>
      </c>
    </row>
    <row r="50">
      <c r="A50" t="n">
        <v>1.813492063492063</v>
      </c>
    </row>
    <row r="51">
      <c r="A51" t="n">
        <v>1.322393470112401</v>
      </c>
    </row>
    <row r="52">
      <c r="A52" t="n">
        <v>0.903097979588957</v>
      </c>
    </row>
    <row r="53">
      <c r="A53" t="n">
        <v>0.3928571428571428</v>
      </c>
    </row>
    <row r="54">
      <c r="A54" t="n">
        <v>100</v>
      </c>
    </row>
    <row r="55">
      <c r="A55" t="n">
        <v>26.225</v>
      </c>
    </row>
    <row r="56">
      <c r="A56" t="n">
        <v>290.8118749999999</v>
      </c>
    </row>
    <row r="57">
      <c r="A57" t="n">
        <v>17.05320717636421</v>
      </c>
    </row>
    <row r="58">
      <c r="A58" t="n">
        <v>0.6502652879452511</v>
      </c>
    </row>
    <row r="59">
      <c r="A59" t="n">
        <v>22.14285714285714</v>
      </c>
    </row>
    <row r="60">
      <c r="A60" t="n">
        <v>23.2258064516129</v>
      </c>
    </row>
    <row r="61">
      <c r="A61" t="n">
        <v>33.1578947368421</v>
      </c>
    </row>
    <row r="62">
      <c r="A62" t="inlineStr">
        <is>
          <t>Mujeres</t>
        </is>
      </c>
    </row>
    <row r="63">
      <c r="A63" t="n">
        <v>2136</v>
      </c>
    </row>
    <row r="64">
      <c r="A64" t="n">
        <v>144280</v>
      </c>
    </row>
    <row r="65">
      <c r="A65" t="n">
        <v>16224</v>
      </c>
    </row>
    <row r="66">
      <c r="A66" t="n">
        <v>160504</v>
      </c>
    </row>
    <row r="67">
      <c r="A67" t="n">
        <v>400.6295046548619</v>
      </c>
    </row>
    <row r="68">
      <c r="A68" t="n">
        <v>0.1010815929821064</v>
      </c>
    </row>
    <row r="69">
      <c r="A69" t="n">
        <v>2208.72</v>
      </c>
    </row>
    <row r="70">
      <c r="A70" t="n">
        <v>166988.3616</v>
      </c>
    </row>
    <row r="71">
      <c r="A71" t="n">
        <v>7.777777777777778</v>
      </c>
    </row>
    <row r="72">
      <c r="A72" t="n">
        <v>6.422222222222222</v>
      </c>
    </row>
    <row r="73">
      <c r="A73" t="n">
        <v>-5.306172839506182</v>
      </c>
    </row>
    <row r="74">
      <c r="A74" t="n">
        <v>-0.3522950819672138</v>
      </c>
    </row>
    <row r="75">
      <c r="A75" t="n">
        <v>9.162295081967219</v>
      </c>
    </row>
    <row r="76">
      <c r="A76" t="n">
        <v>-0.9857051509942207</v>
      </c>
    </row>
    <row r="77">
      <c r="A77" t="n">
        <v>0.9716146446965395</v>
      </c>
    </row>
    <row r="78">
      <c r="A78" t="n">
        <v>5.639344262295081</v>
      </c>
    </row>
    <row r="79">
      <c r="A79" t="n">
        <v>0.02838535530346054</v>
      </c>
    </row>
    <row r="80">
      <c r="A80" t="n">
        <v>100</v>
      </c>
    </row>
    <row r="81">
      <c r="A81" t="n">
        <v>0</v>
      </c>
    </row>
    <row r="82">
      <c r="A82" t="n">
        <v>91.57509157509158</v>
      </c>
    </row>
    <row r="83">
      <c r="A83" t="n">
        <v>104</v>
      </c>
    </row>
    <row r="84">
      <c r="A84" t="n">
        <v>0.04000000000000004</v>
      </c>
    </row>
    <row r="85">
      <c r="A85" t="n">
        <v>95.23809523809523</v>
      </c>
    </row>
    <row r="86">
      <c r="A86" t="n">
        <v>109.2</v>
      </c>
    </row>
    <row r="87">
      <c r="A87" t="n">
        <v>0.05000000000000004</v>
      </c>
    </row>
    <row r="88">
      <c r="A88" t="n">
        <v>100</v>
      </c>
    </row>
    <row r="89">
      <c r="A89" t="n">
        <v>108</v>
      </c>
    </row>
    <row r="90">
      <c r="A90" t="n">
        <v>-0.01098901098901095</v>
      </c>
    </row>
    <row r="91">
      <c r="A91" t="n">
        <v>98.90109890109891</v>
      </c>
    </row>
    <row r="92">
      <c r="A92" t="n">
        <v>113.6</v>
      </c>
    </row>
    <row r="93">
      <c r="A93" t="n">
        <v>0.05185185185185182</v>
      </c>
    </row>
    <row r="94">
      <c r="A94" t="n">
        <v>104.029304029304</v>
      </c>
    </row>
    <row r="95">
      <c r="A95" t="n">
        <v>0.1359999999999999</v>
      </c>
    </row>
    <row r="96">
      <c r="A96" t="n">
        <v>0.03239188661958115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2026-10-03T12:28:14Z</dcterms:created>
  <dcterms:modified xmlns:dcterms="http://purl.org/dc/terms/" xmlns:xsi="http://www.w3.org/2001/XMLSchema-instance" xsi:type="dcterms:W3CDTF">2026-10-03T12:28:15Z</dcterms:modified>
</cp:coreProperties>
</file>