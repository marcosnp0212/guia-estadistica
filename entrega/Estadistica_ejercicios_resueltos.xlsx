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T1_Hermanos" sheetId="2" state="visible" r:id="rId2"/>
    <sheet xmlns:r="http://schemas.openxmlformats.org/officeDocument/2006/relationships" name="T1_Alturas" sheetId="3" state="visible" r:id="rId3"/>
    <sheet xmlns:r="http://schemas.openxmlformats.org/officeDocument/2006/relationships" name="T1_Ponderada_Transf" sheetId="4" state="visible" r:id="rId4"/>
    <sheet xmlns:r="http://schemas.openxmlformats.org/officeDocument/2006/relationships" name="T1_Cuartiles_apuntes" sheetId="5" state="visible" r:id="rId5"/>
    <sheet xmlns:r="http://schemas.openxmlformats.org/officeDocument/2006/relationships" name="T2_Contingencia" sheetId="6" state="visible" r:id="rId6"/>
    <sheet xmlns:r="http://schemas.openxmlformats.org/officeDocument/2006/relationships" name="T3_Antig_Salario" sheetId="7" state="visible" r:id="rId7"/>
    <sheet xmlns:r="http://schemas.openxmlformats.org/officeDocument/2006/relationships" name="B12_Ej01" sheetId="8" state="visible" r:id="rId8"/>
    <sheet xmlns:r="http://schemas.openxmlformats.org/officeDocument/2006/relationships" name="B12_Ej03" sheetId="9" state="visible" r:id="rId9"/>
    <sheet xmlns:r="http://schemas.openxmlformats.org/officeDocument/2006/relationships" name="B12_Ej04" sheetId="10" state="visible" r:id="rId10"/>
    <sheet xmlns:r="http://schemas.openxmlformats.org/officeDocument/2006/relationships" name="B12_Ej05" sheetId="11" state="visible" r:id="rId11"/>
    <sheet xmlns:r="http://schemas.openxmlformats.org/officeDocument/2006/relationships" name="B12_Ej06" sheetId="12" state="visible" r:id="rId12"/>
    <sheet xmlns:r="http://schemas.openxmlformats.org/officeDocument/2006/relationships" name="B12_Ej07" sheetId="13" state="visible" r:id="rId13"/>
    <sheet xmlns:r="http://schemas.openxmlformats.org/officeDocument/2006/relationships" name="B12_Ej08" sheetId="14" state="visible" r:id="rId14"/>
    <sheet xmlns:r="http://schemas.openxmlformats.org/officeDocument/2006/relationships" name="B12_Ej09" sheetId="15" state="visible" r:id="rId15"/>
    <sheet xmlns:r="http://schemas.openxmlformats.org/officeDocument/2006/relationships" name="B12_Ej10" sheetId="16" state="visible" r:id="rId16"/>
    <sheet xmlns:r="http://schemas.openxmlformats.org/officeDocument/2006/relationships" name="B12_Ej11" sheetId="17" state="visible" r:id="rId17"/>
    <sheet xmlns:r="http://schemas.openxmlformats.org/officeDocument/2006/relationships" name="B12_Ej12" sheetId="18" state="visible" r:id="rId18"/>
    <sheet xmlns:r="http://schemas.openxmlformats.org/officeDocument/2006/relationships" name="B12_Ej13" sheetId="19" state="visible" r:id="rId19"/>
    <sheet xmlns:r="http://schemas.openxmlformats.org/officeDocument/2006/relationships" name="B12_Ej14" sheetId="20" state="visible" r:id="rId20"/>
    <sheet xmlns:r="http://schemas.openxmlformats.org/officeDocument/2006/relationships" name="B12_Ej15" sheetId="21" state="visible" r:id="rId21"/>
    <sheet xmlns:r="http://schemas.openxmlformats.org/officeDocument/2006/relationships" name="B12_Ej16" sheetId="22" state="visible" r:id="rId22"/>
    <sheet xmlns:r="http://schemas.openxmlformats.org/officeDocument/2006/relationships" name="B12_Ej17" sheetId="23" state="visible" r:id="rId23"/>
    <sheet xmlns:r="http://schemas.openxmlformats.org/officeDocument/2006/relationships" name="B12_Ej18" sheetId="24" state="visible" r:id="rId24"/>
    <sheet xmlns:r="http://schemas.openxmlformats.org/officeDocument/2006/relationships" name="B12_Ej21" sheetId="25" state="visible" r:id="rId25"/>
    <sheet xmlns:r="http://schemas.openxmlformats.org/officeDocument/2006/relationships" name="B12_Ej22" sheetId="26" state="visible" r:id="rId26"/>
    <sheet xmlns:r="http://schemas.openxmlformats.org/officeDocument/2006/relationships" name="T3_Ej01_02_04" sheetId="27" state="visible" r:id="rId27"/>
    <sheet xmlns:r="http://schemas.openxmlformats.org/officeDocument/2006/relationships" name="T3_Ej03" sheetId="28" state="visible" r:id="rId28"/>
    <sheet xmlns:r="http://schemas.openxmlformats.org/officeDocument/2006/relationships" name="T3_Ej05" sheetId="29" state="visible" r:id="rId29"/>
    <sheet xmlns:r="http://schemas.openxmlformats.org/officeDocument/2006/relationships" name="T3_Ej06_07" sheetId="30" state="visible" r:id="rId30"/>
    <sheet xmlns:r="http://schemas.openxmlformats.org/officeDocument/2006/relationships" name="T3_Ej09_EPF" sheetId="31" state="visible" r:id="rId31"/>
    <sheet xmlns:r="http://schemas.openxmlformats.org/officeDocument/2006/relationships" name="T4_Ej01_02_03" sheetId="32" state="visible" r:id="rId32"/>
    <sheet xmlns:r="http://schemas.openxmlformats.org/officeDocument/2006/relationships" name="T4_Ej04_05_06" sheetId="33" state="visible" r:id="rId33"/>
    <sheet xmlns:r="http://schemas.openxmlformats.org/officeDocument/2006/relationships" name="T4_Ej07_08" sheetId="34" state="visible" r:id="rId34"/>
    <sheet xmlns:r="http://schemas.openxmlformats.org/officeDocument/2006/relationships" name="T4_Ej09_Laspeyres" sheetId="35" state="visible" r:id="rId35"/>
    <sheet xmlns:r="http://schemas.openxmlformats.org/officeDocument/2006/relationships" name="T4_Ej10_11_12" sheetId="36" state="visible" r:id="rId36"/>
    <sheet xmlns:r="http://schemas.openxmlformats.org/officeDocument/2006/relationships" name="T4_Deflactar_apuntes" sheetId="37" state="visible" r:id="rId37"/>
    <sheet xmlns:r="http://schemas.openxmlformats.org/officeDocument/2006/relationships" name="Simulacro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"/>
    <numFmt numFmtId="167" formatCode="0.000%"/>
  </numFmts>
  <fonts count="11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F4E79"/>
      <sz val="14"/>
    </font>
    <font>
      <i val="1"/>
      <color rgb="00595959"/>
    </font>
    <font>
      <b val="1"/>
    </font>
    <font>
      <b val="1"/>
      <color rgb="001F4E79"/>
    </font>
    <font>
      <i val="1"/>
      <color rgb="007F7F7F"/>
    </font>
    <font>
      <name val="Consolas"/>
      <color rgb="000D47A1"/>
      <sz val="9"/>
    </font>
    <font>
      <i val="1"/>
      <color rgb="00C00000"/>
    </font>
    <font>
      <b val="1"/>
      <color rgb="002E75B6"/>
      <sz val="12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pivotButton="0" quotePrefix="0" xfId="0"/>
    <xf numFmtId="164" fontId="4" fillId="4" borderId="1" pivotButton="0" quotePrefix="0" xfId="0"/>
    <xf numFmtId="0" fontId="7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1" applyAlignment="1" pivotButton="0" quotePrefix="0" xfId="0">
      <alignment horizontal="center" wrapText="1"/>
    </xf>
    <xf numFmtId="164" fontId="0" fillId="0" borderId="1" pivotButton="0" quotePrefix="0" xfId="0"/>
    <xf numFmtId="0" fontId="4" fillId="0" borderId="1" pivotButton="0" quotePrefix="0" xfId="0"/>
    <xf numFmtId="2" fontId="4" fillId="4" borderId="1" pivotButton="0" quotePrefix="0" xfId="0"/>
    <xf numFmtId="0" fontId="0" fillId="4" borderId="0" pivotButton="0" quotePrefix="0" xfId="0"/>
    <xf numFmtId="10" fontId="4" fillId="4" borderId="1" pivotButton="0" quotePrefix="0" xfId="0"/>
    <xf numFmtId="0" fontId="6" fillId="0" borderId="0" pivotButton="0" quotePrefix="0" xfId="0"/>
    <xf numFmtId="165" fontId="0" fillId="0" borderId="1" pivotButton="0" quotePrefix="0" xfId="0"/>
    <xf numFmtId="1" fontId="4" fillId="4" borderId="1" pivotButton="0" quotePrefix="0" xfId="0"/>
    <xf numFmtId="166" fontId="4" fillId="4" borderId="1" pivotButton="0" quotePrefix="0" xfId="0"/>
    <xf numFmtId="164" fontId="0" fillId="2" borderId="1" pivotButton="0" quotePrefix="0" xfId="0"/>
    <xf numFmtId="2" fontId="0" fillId="4" borderId="1" pivotButton="0" quotePrefix="0" xfId="0"/>
    <xf numFmtId="9" fontId="0" fillId="2" borderId="1" pivotButton="0" quotePrefix="0" xfId="0"/>
    <xf numFmtId="2" fontId="0" fillId="0" borderId="1" pivotButton="0" quotePrefix="0" xfId="0"/>
    <xf numFmtId="10" fontId="0" fillId="0" borderId="1" pivotButton="0" quotePrefix="0" xfId="0"/>
    <xf numFmtId="167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zoomScale="11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Estadística con Excel · Ejercicios resueltos (Temas 1-4)</t>
        </is>
      </c>
    </row>
    <row r="2"/>
    <row r="3">
      <c r="A3" t="inlineStr">
        <is>
          <t>Cada hoja es un ejercicio. Las celdas amarillas son los datos. Las verdes son los resultados (con la fórmula).</t>
        </is>
      </c>
    </row>
    <row r="4">
      <c r="A4" t="inlineStr">
        <is>
          <t>Al lado de cada resultado está escrita la fórmula tal y como la escribirías en tu Excel en español (con ; y coma decimal).</t>
        </is>
      </c>
    </row>
    <row r="5">
      <c r="A5" t="inlineStr">
        <is>
          <t>Haz clic en cualquier celda verde y mira la barra de fórmulas: verás cómo está calculada.</t>
        </is>
      </c>
    </row>
    <row r="6">
      <c r="A6" t="inlineStr">
        <is>
          <t>Consejo: intenta el ejercicio tú primero en una hoja nueva y compara después.</t>
        </is>
      </c>
    </row>
    <row r="7"/>
    <row r="8">
      <c r="A8" s="2" t="inlineStr">
        <is>
          <t>Hoja</t>
        </is>
      </c>
      <c r="B8" s="2" t="inlineStr">
        <is>
          <t>Contenido</t>
        </is>
      </c>
    </row>
    <row r="9">
      <c r="A9" s="3" t="inlineStr">
        <is>
          <t>T1_Hermanos</t>
        </is>
      </c>
      <c r="B9" t="inlineStr">
        <is>
          <t>Tabla de frecuencias, media, mediana, moda, cuartiles, varianzas, CV, forma</t>
        </is>
      </c>
    </row>
    <row r="10">
      <c r="A10" s="3" t="inlineStr">
        <is>
          <t>T1_Alturas</t>
        </is>
      </c>
      <c r="B10" t="inlineStr">
        <is>
          <t>Media, varianza, cuartiles exactos y agrupados; moda y mediana con fórmula</t>
        </is>
      </c>
    </row>
    <row r="11">
      <c r="A11" s="3" t="inlineStr">
        <is>
          <t>T1_Ponderada_Transf</t>
        </is>
      </c>
      <c r="B11" t="inlineStr">
        <is>
          <t>Media ponderada, truncada, transformaciones, CV, varianza dentro/entre, tipificar</t>
        </is>
      </c>
    </row>
    <row r="12">
      <c r="A12" s="3" t="inlineStr">
        <is>
          <t>T1_Cuartiles_apuntes</t>
        </is>
      </c>
      <c r="B12" t="inlineStr">
        <is>
          <t>Cuantiles con intervalos</t>
        </is>
      </c>
    </row>
    <row r="13">
      <c r="A13" s="3" t="inlineStr">
        <is>
          <t>T2_Contingencia</t>
        </is>
      </c>
      <c r="B13" t="inlineStr">
        <is>
          <t>Marginales, relativas, tabla de independencia, condicionadas</t>
        </is>
      </c>
    </row>
    <row r="14">
      <c r="A14" s="3" t="inlineStr">
        <is>
          <t>T3_Antig_Salario</t>
        </is>
      </c>
      <c r="B14" t="inlineStr">
        <is>
          <t>Covarianza, recta, r, R², predicción (funciones y fórmulas)</t>
        </is>
      </c>
    </row>
    <row r="15">
      <c r="A15" s="3" t="inlineStr">
        <is>
          <t>B12_Ej01</t>
        </is>
      </c>
      <c r="B15" t="inlineStr">
        <is>
          <t>Medias, varianzas, tipificados</t>
        </is>
      </c>
    </row>
    <row r="16">
      <c r="A16" s="3" t="inlineStr">
        <is>
          <t>B12_Ej03</t>
        </is>
      </c>
      <c r="B16" t="inlineStr">
        <is>
          <t>Tabla de frecuencias y medidas</t>
        </is>
      </c>
    </row>
    <row r="17">
      <c r="A17" s="3" t="inlineStr">
        <is>
          <t>B12_Ej04</t>
        </is>
      </c>
      <c r="B17" t="inlineStr">
        <is>
          <t>Media, moda, mediana, varianza</t>
        </is>
      </c>
    </row>
    <row r="18">
      <c r="A18" s="3" t="inlineStr">
        <is>
          <t>B12_Ej05</t>
        </is>
      </c>
      <c r="B18" t="inlineStr">
        <is>
          <t>Densidades</t>
        </is>
      </c>
    </row>
    <row r="19">
      <c r="A19" s="3" t="inlineStr">
        <is>
          <t>B12_Ej06</t>
        </is>
      </c>
      <c r="B19" t="inlineStr">
        <is>
          <t>Frecuencias y acumuladas</t>
        </is>
      </c>
    </row>
    <row r="20">
      <c r="A20" s="3" t="inlineStr">
        <is>
          <t>B12_Ej07</t>
        </is>
      </c>
      <c r="B20" t="inlineStr">
        <is>
          <t>Reparto uniforme dentro del intervalo</t>
        </is>
      </c>
    </row>
    <row r="21">
      <c r="A21" s="3" t="inlineStr">
        <is>
          <t>B12_Ej08</t>
        </is>
      </c>
      <c r="B21" t="inlineStr">
        <is>
          <t>Media, varianza, CV y transformaciones</t>
        </is>
      </c>
    </row>
    <row r="22">
      <c r="A22" s="3" t="inlineStr">
        <is>
          <t>B12_Ej09</t>
        </is>
      </c>
      <c r="B22" t="inlineStr">
        <is>
          <t>Media y varianza con frecuencias relativas</t>
        </is>
      </c>
    </row>
    <row r="23">
      <c r="A23" s="3" t="inlineStr">
        <is>
          <t>B12_Ej10</t>
        </is>
      </c>
      <c r="B23" t="inlineStr">
        <is>
          <t>Media, mediana, moda, S, CV, subida del 5 %</t>
        </is>
      </c>
    </row>
    <row r="24">
      <c r="A24" s="3" t="inlineStr">
        <is>
          <t>B12_Ej11</t>
        </is>
      </c>
      <c r="B24" t="inlineStr">
        <is>
          <t>Media, alquiler medio, moda con densidades</t>
        </is>
      </c>
    </row>
    <row r="25">
      <c r="A25" s="3" t="inlineStr">
        <is>
          <t>B12_Ej12</t>
        </is>
      </c>
      <c r="B25" t="inlineStr">
        <is>
          <t>Percentiles 65, 85 y 95</t>
        </is>
      </c>
    </row>
    <row r="26">
      <c r="A26" s="3" t="inlineStr">
        <is>
          <t>B12_Ej13</t>
        </is>
      </c>
      <c r="B26" t="inlineStr">
        <is>
          <t>Media, moda, S, P35-P65, varianza en subpoblaciones</t>
        </is>
      </c>
    </row>
    <row r="27">
      <c r="A27" s="3" t="inlineStr">
        <is>
          <t>B12_Ej14</t>
        </is>
      </c>
      <c r="B27" t="inlineStr">
        <is>
          <t>CV por grupo; media y S global</t>
        </is>
      </c>
    </row>
    <row r="28">
      <c r="A28" s="3" t="inlineStr">
        <is>
          <t>B12_Ej15</t>
        </is>
      </c>
      <c r="B28" t="inlineStr">
        <is>
          <t>Moda de Y, mediana de X, varianza condicionada</t>
        </is>
      </c>
    </row>
    <row r="29">
      <c r="A29" s="3" t="inlineStr">
        <is>
          <t>B12_Ej16</t>
        </is>
      </c>
      <c r="B29" t="inlineStr">
        <is>
          <t>Medias, varianzas, independencia, cuartiles condicionados</t>
        </is>
      </c>
    </row>
    <row r="30">
      <c r="A30" s="3" t="inlineStr">
        <is>
          <t>B12_Ej17</t>
        </is>
      </c>
      <c r="B30" t="inlineStr">
        <is>
          <t>Medias, mediana, moda, P75, CV norte vs sur</t>
        </is>
      </c>
    </row>
    <row r="31">
      <c r="A31" s="3" t="inlineStr">
        <is>
          <t>B12_Ej18</t>
        </is>
      </c>
      <c r="B31" t="inlineStr">
        <is>
          <t>Relativas, marginales, condicionadas, independencia</t>
        </is>
      </c>
    </row>
    <row r="32">
      <c r="A32" s="3" t="inlineStr">
        <is>
          <t>B12_Ej21</t>
        </is>
      </c>
      <c r="B32" t="inlineStr">
        <is>
          <t>CV, varianza dentro/entre, % entre grupos</t>
        </is>
      </c>
    </row>
    <row r="33">
      <c r="A33" s="3" t="inlineStr">
        <is>
          <t>B12_Ej22</t>
        </is>
      </c>
      <c r="B33" t="inlineStr">
        <is>
          <t>Transformaciones lineales</t>
        </is>
      </c>
    </row>
    <row r="34">
      <c r="A34" s="3" t="inlineStr">
        <is>
          <t>T3_Ej01_02_04</t>
        </is>
      </c>
      <c r="B34" t="inlineStr">
        <is>
          <t>Rectas a partir de medias, S y Sxy</t>
        </is>
      </c>
    </row>
    <row r="35">
      <c r="A35" s="3" t="inlineStr">
        <is>
          <t>T3_Ej03</t>
        </is>
      </c>
      <c r="B35" t="inlineStr">
        <is>
          <t>Recta, r, R², predicción</t>
        </is>
      </c>
    </row>
    <row r="36">
      <c r="A36" s="3" t="inlineStr">
        <is>
          <t>T3_Ej05</t>
        </is>
      </c>
      <c r="B36" t="inlineStr">
        <is>
          <t>Recta, r, R², predicción</t>
        </is>
      </c>
    </row>
    <row r="37">
      <c r="A37" s="3" t="inlineStr">
        <is>
          <t>T3_Ej06_07</t>
        </is>
      </c>
      <c r="B37" t="inlineStr">
        <is>
          <t>Relaciones entre b, r, S</t>
        </is>
      </c>
    </row>
    <row r="38">
      <c r="A38" s="3" t="inlineStr">
        <is>
          <t>T3_Ej09_EPF</t>
        </is>
      </c>
      <c r="B38" t="inlineStr">
        <is>
          <t>Regresiones entre partidas de gasto</t>
        </is>
      </c>
    </row>
    <row r="39">
      <c r="A39" s="3" t="inlineStr">
        <is>
          <t>T4_Ej01_02_03</t>
        </is>
      </c>
      <c r="B39" t="inlineStr">
        <is>
          <t>Índices a partir de tasas</t>
        </is>
      </c>
    </row>
    <row r="40">
      <c r="A40" s="3" t="inlineStr">
        <is>
          <t>T4_Ej04_05_06</t>
        </is>
      </c>
      <c r="B40" t="inlineStr">
        <is>
          <t>Salario real, tasas, cambio de base</t>
        </is>
      </c>
    </row>
    <row r="41">
      <c r="A41" s="3" t="inlineStr">
        <is>
          <t>T4_Ej07_08</t>
        </is>
      </c>
      <c r="B41" t="inlineStr">
        <is>
          <t>Tasas anuales equivalentes, tasas mensuales</t>
        </is>
      </c>
    </row>
    <row r="42">
      <c r="A42" s="3" t="inlineStr">
        <is>
          <t>T4_Ej09_Laspeyres</t>
        </is>
      </c>
      <c r="B42" t="inlineStr">
        <is>
          <t>Índices complejos</t>
        </is>
      </c>
    </row>
    <row r="43">
      <c r="A43" s="3" t="inlineStr">
        <is>
          <t>T4_Ej10_11_12</t>
        </is>
      </c>
      <c r="B43" t="inlineStr">
        <is>
          <t>Cambio de base del IPC, deflactar</t>
        </is>
      </c>
    </row>
    <row r="44">
      <c r="A44" s="3" t="inlineStr">
        <is>
          <t>T4_Deflactar_apuntes</t>
        </is>
      </c>
      <c r="B44" t="inlineStr">
        <is>
          <t>Salario real, índices nominal y real</t>
        </is>
      </c>
    </row>
    <row r="45">
      <c r="A45" s="3" t="inlineStr">
        <is>
          <t>Simulacro</t>
        </is>
      </c>
      <c r="B45" t="inlineStr">
        <is>
          <t>Datos del simulacro</t>
        </is>
      </c>
    </row>
  </sheetData>
  <hyperlinks>
    <hyperlink ref="A9" location="'T1_Hermanos'!A1"/>
    <hyperlink ref="A10" location="'T1_Alturas'!A1"/>
    <hyperlink ref="A11" location="'T1_Ponderada_Transf'!A1"/>
    <hyperlink ref="A12" location="'T1_Cuartiles_apuntes'!A1"/>
    <hyperlink ref="A13" location="'T2_Contingencia'!A1"/>
    <hyperlink ref="A14" location="'T3_Antig_Salario'!A1"/>
    <hyperlink ref="A15" location="'B12_Ej01'!A1"/>
    <hyperlink ref="A16" location="'B12_Ej03'!A1"/>
    <hyperlink ref="A17" location="'B12_Ej04'!A1"/>
    <hyperlink ref="A18" location="'B12_Ej05'!A1"/>
    <hyperlink ref="A19" location="'B12_Ej06'!A1"/>
    <hyperlink ref="A20" location="'B12_Ej07'!A1"/>
    <hyperlink ref="A21" location="'B12_Ej08'!A1"/>
    <hyperlink ref="A22" location="'B12_Ej09'!A1"/>
    <hyperlink ref="A23" location="'B12_Ej10'!A1"/>
    <hyperlink ref="A24" location="'B12_Ej11'!A1"/>
    <hyperlink ref="A25" location="'B12_Ej12'!A1"/>
    <hyperlink ref="A26" location="'B12_Ej13'!A1"/>
    <hyperlink ref="A27" location="'B12_Ej14'!A1"/>
    <hyperlink ref="A28" location="'B12_Ej15'!A1"/>
    <hyperlink ref="A29" location="'B12_Ej16'!A1"/>
    <hyperlink ref="A30" location="'B12_Ej17'!A1"/>
    <hyperlink ref="A31" location="'B12_Ej18'!A1"/>
    <hyperlink ref="A32" location="'B12_Ej21'!A1"/>
    <hyperlink ref="A33" location="'B12_Ej22'!A1"/>
    <hyperlink ref="A34" location="'T3_Ej01_02_04'!A1"/>
    <hyperlink ref="A35" location="'T3_Ej03'!A1"/>
    <hyperlink ref="A36" location="'T3_Ej05'!A1"/>
    <hyperlink ref="A37" location="'T3_Ej06_07'!A1"/>
    <hyperlink ref="A38" location="'T3_Ej09_EPF'!A1"/>
    <hyperlink ref="A39" location="'T4_Ej01_02_03'!A1"/>
    <hyperlink ref="A40" location="'T4_Ej04_05_06'!A1"/>
    <hyperlink ref="A41" location="'T4_Ej07_08'!A1"/>
    <hyperlink ref="A42" location="'T4_Ej09_Laspeyres'!A1"/>
    <hyperlink ref="A43" location="'T4_Ej10_11_12'!A1"/>
    <hyperlink ref="A44" location="'T4_Deflactar_apuntes'!A1"/>
    <hyperlink ref="A45" location="'Simulacro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  <col width="14" customWidth="1" min="11" max="11"/>
    <col width="3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1 · Ejemplo de clase: número de hermanos (44 personas)</t>
        </is>
      </c>
    </row>
    <row r="2">
      <c r="A2" s="5" t="inlineStr">
        <is>
          <t>Datos en la columna A (A6:A49). Tabla de frecuencias y todas las medidas.</t>
        </is>
      </c>
    </row>
    <row r="3"/>
    <row r="4">
      <c r="A4" s="2" t="inlineStr">
        <is>
          <t>Hermanos (datos)</t>
        </is>
      </c>
      <c r="C4" s="6" t="inlineStr">
        <is>
          <t>xᵢ</t>
        </is>
      </c>
      <c r="D4" s="6" t="inlineStr">
        <is>
          <t>nᵢ</t>
        </is>
      </c>
      <c r="E4" s="6" t="inlineStr">
        <is>
          <t>fᵢ</t>
        </is>
      </c>
      <c r="F4" s="6" t="inlineStr">
        <is>
          <t>%</t>
        </is>
      </c>
      <c r="G4" s="6" t="inlineStr">
        <is>
          <t>Nᵢ</t>
        </is>
      </c>
      <c r="H4" s="6" t="inlineStr">
        <is>
          <t>Fᵢ</t>
        </is>
      </c>
      <c r="J4" s="2" t="inlineStr">
        <is>
          <t>Media</t>
        </is>
      </c>
      <c r="K4" s="7">
        <f>AVERAGE($A$5:$A$48)</f>
        <v/>
      </c>
      <c r="L4" s="8" t="inlineStr">
        <is>
          <t>→ =PROMEDIO($A$5:$A$48)</t>
        </is>
      </c>
    </row>
    <row r="5">
      <c r="A5" s="9" t="n">
        <v>0</v>
      </c>
      <c r="C5" s="10" t="n">
        <v>0</v>
      </c>
      <c r="D5" s="11">
        <f>COUNTIF($A$5:$A$48,C5)</f>
        <v/>
      </c>
      <c r="E5" s="11">
        <f>D5/$D$11</f>
        <v/>
      </c>
      <c r="F5" s="11">
        <f>E5*100</f>
        <v/>
      </c>
      <c r="G5" s="11">
        <f>D5</f>
        <v/>
      </c>
      <c r="H5" s="11">
        <f>G5/$D$11</f>
        <v/>
      </c>
      <c r="J5" s="2" t="inlineStr">
        <is>
          <t>Media desde la tabla</t>
        </is>
      </c>
      <c r="K5" s="7">
        <f>SUMPRODUCT(C5:C10,D5:D10)/D11</f>
        <v/>
      </c>
      <c r="L5" s="8" t="inlineStr">
        <is>
          <t>→ =SUMAPRODUCTO(C5:C10;D5:D10)/D11</t>
        </is>
      </c>
    </row>
    <row r="6">
      <c r="A6" s="9" t="n">
        <v>2</v>
      </c>
      <c r="C6" s="10" t="n">
        <v>1</v>
      </c>
      <c r="D6" s="11">
        <f>COUNTIF($A$5:$A$48,C6)</f>
        <v/>
      </c>
      <c r="E6" s="11">
        <f>D6/$D$11</f>
        <v/>
      </c>
      <c r="F6" s="11">
        <f>E6*100</f>
        <v/>
      </c>
      <c r="G6" s="11">
        <f>G5+D6</f>
        <v/>
      </c>
      <c r="H6" s="11">
        <f>G6/$D$11</f>
        <v/>
      </c>
      <c r="J6" s="2" t="inlineStr">
        <is>
          <t>Mediana</t>
        </is>
      </c>
      <c r="K6" s="7">
        <f>MEDIAN($A$5:$A$48)</f>
        <v/>
      </c>
      <c r="L6" s="8" t="inlineStr">
        <is>
          <t>→ =MEDIANA($A$5:$A$48)</t>
        </is>
      </c>
    </row>
    <row r="7">
      <c r="A7" s="9" t="n">
        <v>0</v>
      </c>
      <c r="C7" s="10" t="n">
        <v>2</v>
      </c>
      <c r="D7" s="11">
        <f>COUNTIF($A$5:$A$48,C7)</f>
        <v/>
      </c>
      <c r="E7" s="11">
        <f>D7/$D$11</f>
        <v/>
      </c>
      <c r="F7" s="11">
        <f>E7*100</f>
        <v/>
      </c>
      <c r="G7" s="11">
        <f>G6+D7</f>
        <v/>
      </c>
      <c r="H7" s="11">
        <f>G7/$D$11</f>
        <v/>
      </c>
      <c r="J7" s="2" t="inlineStr">
        <is>
          <t>Moda</t>
        </is>
      </c>
      <c r="K7" s="7">
        <f>_xlfn.MODE.SNGL($A$5:$A$48)</f>
        <v/>
      </c>
      <c r="L7" s="8" t="inlineStr">
        <is>
          <t>→ =MODA.UNO($A$5:$A$48)</t>
        </is>
      </c>
    </row>
    <row r="8">
      <c r="A8" s="9" t="n">
        <v>0</v>
      </c>
      <c r="C8" s="10" t="n">
        <v>3</v>
      </c>
      <c r="D8" s="11">
        <f>COUNTIF($A$5:$A$48,C8)</f>
        <v/>
      </c>
      <c r="E8" s="11">
        <f>D8/$D$11</f>
        <v/>
      </c>
      <c r="F8" s="11">
        <f>E8*100</f>
        <v/>
      </c>
      <c r="G8" s="11">
        <f>G7+D8</f>
        <v/>
      </c>
      <c r="H8" s="11">
        <f>G8/$D$11</f>
        <v/>
      </c>
      <c r="J8" s="2" t="inlineStr">
        <is>
          <t>Cuartil 1 (Excel)</t>
        </is>
      </c>
      <c r="K8" s="7">
        <f>_xlfn.QUARTILE.INC($A$5:$A$48,1)</f>
        <v/>
      </c>
      <c r="L8" s="8" t="inlineStr">
        <is>
          <t>→ =CUARTIL.INC($A$5:$A$48;1)</t>
        </is>
      </c>
    </row>
    <row r="9">
      <c r="A9" s="9" t="n">
        <v>2</v>
      </c>
      <c r="C9" s="10" t="n">
        <v>4</v>
      </c>
      <c r="D9" s="11">
        <f>COUNTIF($A$5:$A$48,C9)</f>
        <v/>
      </c>
      <c r="E9" s="11">
        <f>D9/$D$11</f>
        <v/>
      </c>
      <c r="F9" s="11">
        <f>E9*100</f>
        <v/>
      </c>
      <c r="G9" s="11">
        <f>G8+D9</f>
        <v/>
      </c>
      <c r="H9" s="11">
        <f>G9/$D$11</f>
        <v/>
      </c>
      <c r="J9" s="2" t="inlineStr">
        <is>
          <t>Cuartil 3 (Excel)</t>
        </is>
      </c>
      <c r="K9" s="7">
        <f>_xlfn.QUARTILE.INC($A$5:$A$48,3)</f>
        <v/>
      </c>
      <c r="L9" s="8" t="inlineStr">
        <is>
          <t>→ =CUARTIL.INC($A$5:$A$48;3)</t>
        </is>
      </c>
    </row>
    <row r="10">
      <c r="A10" s="9" t="n">
        <v>2</v>
      </c>
      <c r="C10" s="10" t="n">
        <v>5</v>
      </c>
      <c r="D10" s="11">
        <f>COUNTIF($A$5:$A$48,C10)</f>
        <v/>
      </c>
      <c r="E10" s="11">
        <f>D10/$D$11</f>
        <v/>
      </c>
      <c r="F10" s="11">
        <f>E10*100</f>
        <v/>
      </c>
      <c r="G10" s="11">
        <f>G9+D10</f>
        <v/>
      </c>
      <c r="H10" s="11">
        <f>G10/$D$11</f>
        <v/>
      </c>
      <c r="J10" s="2" t="inlineStr">
        <is>
          <t>Percentil 97</t>
        </is>
      </c>
      <c r="K10" s="7">
        <f>_xlfn.PERCENTILE.INC($A$5:$A$48,0.97)</f>
        <v/>
      </c>
      <c r="L10" s="8" t="inlineStr">
        <is>
          <t>→ =PERCENTIL.INC($A$5:$A$48;0,97)</t>
        </is>
      </c>
    </row>
    <row r="11">
      <c r="A11" s="9" t="n">
        <v>0</v>
      </c>
      <c r="C11" s="2" t="inlineStr">
        <is>
          <t>Total</t>
        </is>
      </c>
      <c r="D11">
        <f>SUM(D5:D10)</f>
        <v/>
      </c>
      <c r="E11">
        <f>SUM(E5:E10)</f>
        <v/>
      </c>
      <c r="F11">
        <f>SUM(F5:F10)</f>
        <v/>
      </c>
      <c r="J11" s="2" t="inlineStr">
        <is>
          <t>Rango</t>
        </is>
      </c>
      <c r="K11" s="7">
        <f>MAX($A$5:$A$48)-MIN($A$5:$A$48)</f>
        <v/>
      </c>
      <c r="L11" s="8" t="inlineStr">
        <is>
          <t>→ =MAX($A$5:$A$48)-MIN($A$5:$A$48)</t>
        </is>
      </c>
    </row>
    <row r="12">
      <c r="A12" s="9" t="n">
        <v>0</v>
      </c>
      <c r="C12" s="21" t="inlineStr">
        <is>
          <t>Fórmulas fila 1: nᵢ =CONTAR.SI($A$5:$A$48;C5) · fᵢ =D5/$D$11 · Nᵢ =D5 y luego =G5+D6</t>
        </is>
      </c>
      <c r="J12" s="2" t="inlineStr">
        <is>
          <t>Varianza S²</t>
        </is>
      </c>
      <c r="K12" s="7">
        <f>_xlfn.VAR.P($A$5:$A$48)</f>
        <v/>
      </c>
      <c r="L12" s="8" t="inlineStr">
        <is>
          <t>→ =VAR.P($A$5:$A$48)</t>
        </is>
      </c>
    </row>
    <row r="13">
      <c r="A13" s="9" t="n">
        <v>1</v>
      </c>
      <c r="J13" s="2" t="inlineStr">
        <is>
          <t>Cuasivarianza s²</t>
        </is>
      </c>
      <c r="K13" s="7">
        <f>_xlfn.VAR.S($A$5:$A$48)</f>
        <v/>
      </c>
      <c r="L13" s="8" t="inlineStr">
        <is>
          <t>→ =VAR.S($A$5:$A$48)</t>
        </is>
      </c>
    </row>
    <row r="14">
      <c r="A14" s="9" t="n">
        <v>1</v>
      </c>
      <c r="J14" s="2" t="inlineStr">
        <is>
          <t>Desviación típica S</t>
        </is>
      </c>
      <c r="K14" s="7">
        <f>_xlfn.STDEV.P($A$5:$A$48)</f>
        <v/>
      </c>
      <c r="L14" s="8" t="inlineStr">
        <is>
          <t>→ =DESVEST.P($A$5:$A$48)</t>
        </is>
      </c>
    </row>
    <row r="15">
      <c r="A15" s="9" t="n">
        <v>3</v>
      </c>
      <c r="J15" s="2" t="inlineStr">
        <is>
          <t>Cuasidesviación s</t>
        </is>
      </c>
      <c r="K15" s="7">
        <f>_xlfn.STDEV.S($A$5:$A$48)</f>
        <v/>
      </c>
      <c r="L15" s="8" t="inlineStr">
        <is>
          <t>→ =DESVEST.S($A$5:$A$48)</t>
        </is>
      </c>
    </row>
    <row r="16">
      <c r="A16" s="9" t="n">
        <v>0</v>
      </c>
      <c r="J16" s="2" t="inlineStr">
        <is>
          <t>Coef. variación</t>
        </is>
      </c>
      <c r="K16" s="7">
        <f>_xlfn.STDEV.P($A$5:$A$48)/AVERAGE($A$5:$A$48)</f>
        <v/>
      </c>
      <c r="L16" s="8" t="inlineStr">
        <is>
          <t>→ =DESVEST.P($A$5:$A$48)/PROMEDIO($A$5:$A$48)</t>
        </is>
      </c>
    </row>
    <row r="17">
      <c r="A17" s="9" t="n">
        <v>0</v>
      </c>
      <c r="J17" s="2" t="inlineStr">
        <is>
          <t>Asimetría (CA)</t>
        </is>
      </c>
      <c r="K17" s="7">
        <f>_xlfn.SKEW.P($A$5:$A$48)</f>
        <v/>
      </c>
      <c r="L17" s="8" t="inlineStr">
        <is>
          <t>→ =COEFICIENTE.ASIMETRIA.P($A$5:$A$48)</t>
        </is>
      </c>
    </row>
    <row r="18">
      <c r="A18" s="9" t="n">
        <v>1</v>
      </c>
      <c r="J18" s="2" t="inlineStr">
        <is>
          <t>Curtosis</t>
        </is>
      </c>
      <c r="K18" s="7">
        <f>KURT($A$5:$A$48)</f>
        <v/>
      </c>
      <c r="L18" s="8" t="inlineStr">
        <is>
          <t>→ =CURTOSIS($A$5:$A$48)</t>
        </is>
      </c>
    </row>
    <row r="19">
      <c r="A19" s="9" t="n">
        <v>0</v>
      </c>
      <c r="J19" s="13" t="inlineStr">
        <is>
          <t>C₃ con la receta de los apuntes = 1,5 (3n/4 = 33 = N exacto → (1+2)/2). Excel da 1,25 por usar otro método.</t>
        </is>
      </c>
    </row>
    <row r="20">
      <c r="A20" s="9" t="n">
        <v>0</v>
      </c>
      <c r="J20" s="2" t="inlineStr">
        <is>
          <t>Límite superior atípicos (receta)</t>
        </is>
      </c>
      <c r="K20" s="7">
        <f>1.5+1.5*(1.5-0)</f>
        <v/>
      </c>
      <c r="L20" s="8" t="inlineStr">
        <is>
          <t>→ =1,5+1,5*(1,5-0)</t>
        </is>
      </c>
      <c r="O20" s="5" t="inlineStr">
        <is>
          <t>4 y 5 son atípicos</t>
        </is>
      </c>
    </row>
    <row r="21">
      <c r="A21" s="9" t="n">
        <v>1</v>
      </c>
    </row>
    <row r="22">
      <c r="A22" s="9" t="n">
        <v>0</v>
      </c>
    </row>
    <row r="23">
      <c r="A23" s="9" t="n">
        <v>1</v>
      </c>
    </row>
    <row r="24">
      <c r="A24" s="9" t="n">
        <v>4</v>
      </c>
    </row>
    <row r="25">
      <c r="A25" s="9" t="n">
        <v>0</v>
      </c>
    </row>
    <row r="26">
      <c r="A26" s="9" t="n">
        <v>0</v>
      </c>
    </row>
    <row r="27">
      <c r="A27" s="9" t="n">
        <v>1</v>
      </c>
    </row>
    <row r="28">
      <c r="A28" s="9" t="n">
        <v>4</v>
      </c>
    </row>
    <row r="29">
      <c r="A29" s="9" t="n">
        <v>2</v>
      </c>
    </row>
    <row r="30">
      <c r="A30" s="9" t="n">
        <v>0</v>
      </c>
    </row>
    <row r="31">
      <c r="A31" s="9" t="n">
        <v>0</v>
      </c>
    </row>
    <row r="32">
      <c r="A32" s="9" t="n">
        <v>1</v>
      </c>
    </row>
    <row r="33">
      <c r="A33" s="9" t="n">
        <v>0</v>
      </c>
    </row>
    <row r="34">
      <c r="A34" s="9" t="n">
        <v>0</v>
      </c>
    </row>
    <row r="35">
      <c r="A35" s="9" t="n">
        <v>2</v>
      </c>
    </row>
    <row r="36">
      <c r="A36" s="9" t="n">
        <v>2</v>
      </c>
    </row>
    <row r="37">
      <c r="A37" s="9" t="n">
        <v>1</v>
      </c>
    </row>
    <row r="38">
      <c r="A38" s="9" t="n">
        <v>1</v>
      </c>
    </row>
    <row r="39">
      <c r="A39" s="9" t="n">
        <v>0</v>
      </c>
    </row>
    <row r="40">
      <c r="A40" s="9" t="n">
        <v>0</v>
      </c>
    </row>
    <row r="41">
      <c r="A41" s="9" t="n">
        <v>0</v>
      </c>
    </row>
    <row r="42">
      <c r="A42" s="9" t="n">
        <v>5</v>
      </c>
    </row>
    <row r="43">
      <c r="A43" s="9" t="n">
        <v>1</v>
      </c>
    </row>
    <row r="44">
      <c r="A44" s="9" t="n">
        <v>3</v>
      </c>
    </row>
    <row r="45">
      <c r="A45" s="9" t="n">
        <v>0</v>
      </c>
    </row>
    <row r="46">
      <c r="A46" s="9" t="n">
        <v>1</v>
      </c>
    </row>
    <row r="47">
      <c r="A47" s="9" t="n">
        <v>0</v>
      </c>
    </row>
    <row r="48">
      <c r="A48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1 · Ejemplo 3: alturas (16 personas)</t>
        </is>
      </c>
    </row>
    <row r="2">
      <c r="A2" s="5" t="inlineStr">
        <is>
          <t>Datos sueltos en la fila 5 y tabla agrupada en intervalos de amplitud 10.</t>
        </is>
      </c>
    </row>
    <row r="3"/>
    <row r="4">
      <c r="A4" s="2" t="inlineStr">
        <is>
          <t>Alturas</t>
        </is>
      </c>
      <c r="B4" s="9" t="n">
        <v>163</v>
      </c>
      <c r="C4" s="9" t="n">
        <v>167</v>
      </c>
      <c r="D4" s="9" t="n">
        <v>169</v>
      </c>
      <c r="E4" s="9" t="n">
        <v>172</v>
      </c>
      <c r="F4" s="9" t="n">
        <v>174</v>
      </c>
      <c r="G4" s="9" t="n">
        <v>176</v>
      </c>
      <c r="H4" s="9" t="n">
        <v>177</v>
      </c>
      <c r="I4" s="9" t="n">
        <v>178</v>
      </c>
      <c r="J4" s="9" t="n">
        <v>179</v>
      </c>
      <c r="K4" s="9" t="n">
        <v>181</v>
      </c>
      <c r="L4" s="9" t="n">
        <v>182</v>
      </c>
      <c r="M4" s="9" t="n">
        <v>184</v>
      </c>
      <c r="N4" s="9" t="n">
        <v>186</v>
      </c>
      <c r="O4" s="9" t="n">
        <v>189</v>
      </c>
      <c r="P4" s="9" t="n">
        <v>193</v>
      </c>
      <c r="Q4" s="9" t="n">
        <v>198</v>
      </c>
    </row>
    <row r="5"/>
    <row r="6">
      <c r="A6" s="14" t="inlineStr">
        <is>
          <t>Con los datos sueltos (exacto)</t>
        </is>
      </c>
    </row>
    <row r="7">
      <c r="A7" s="2" t="inlineStr">
        <is>
          <t>Media</t>
        </is>
      </c>
      <c r="B7" s="7">
        <f>AVERAGE($B$4:$Q$4)</f>
        <v/>
      </c>
      <c r="C7" s="8" t="inlineStr">
        <is>
          <t>→ =PROMEDIO($B$4:$Q$4)</t>
        </is>
      </c>
    </row>
    <row r="8">
      <c r="A8" s="2" t="inlineStr">
        <is>
          <t>Varianza S²</t>
        </is>
      </c>
      <c r="B8" s="7">
        <f>_xlfn.VAR.P($B$4:$Q$4)</f>
        <v/>
      </c>
      <c r="C8" s="8" t="inlineStr">
        <is>
          <t>→ =VAR.P($B$4:$Q$4)</t>
        </is>
      </c>
    </row>
    <row r="9">
      <c r="A9" s="2" t="inlineStr">
        <is>
          <t>Cuasivarianza s²</t>
        </is>
      </c>
      <c r="B9" s="7">
        <f>_xlfn.VAR.S($B$4:$Q$4)</f>
        <v/>
      </c>
      <c r="C9" s="8" t="inlineStr">
        <is>
          <t>→ =VAR.S($B$4:$Q$4)</t>
        </is>
      </c>
    </row>
    <row r="10">
      <c r="A10" s="2" t="inlineStr">
        <is>
          <t>S</t>
        </is>
      </c>
      <c r="B10" s="7">
        <f>_xlfn.STDEV.P($B$4:$Q$4)</f>
        <v/>
      </c>
      <c r="C10" s="8" t="inlineStr">
        <is>
          <t>→ =DESVEST.P($B$4:$Q$4)</t>
        </is>
      </c>
    </row>
    <row r="11">
      <c r="A11" s="2" t="inlineStr">
        <is>
          <t>s</t>
        </is>
      </c>
      <c r="B11" s="7">
        <f>_xlfn.STDEV.S($B$4:$Q$4)</f>
        <v/>
      </c>
      <c r="C11" s="8" t="inlineStr">
        <is>
          <t>→ =DESVEST.S($B$4:$Q$4)</t>
        </is>
      </c>
    </row>
    <row r="12">
      <c r="A12" s="2" t="inlineStr">
        <is>
          <t>Cuartil 1</t>
        </is>
      </c>
      <c r="B12" s="7">
        <f>_xlfn.QUARTILE.INC($B$4:$Q$4,1)</f>
        <v/>
      </c>
      <c r="C12" s="8" t="inlineStr">
        <is>
          <t>→ =CUARTIL.INC($B$4:$Q$4;1)</t>
        </is>
      </c>
    </row>
    <row r="13">
      <c r="A13" s="2" t="inlineStr">
        <is>
          <t>Mediana</t>
        </is>
      </c>
      <c r="B13" s="7">
        <f>MEDIAN($B$4:$Q$4)</f>
        <v/>
      </c>
      <c r="C13" s="8" t="inlineStr">
        <is>
          <t>→ =MEDIANA($B$4:$Q$4)</t>
        </is>
      </c>
    </row>
    <row r="14">
      <c r="A14" s="2" t="inlineStr">
        <is>
          <t>Cuartil 3</t>
        </is>
      </c>
      <c r="B14" s="7">
        <f>_xlfn.QUARTILE.INC($B$4:$Q$4,3)</f>
        <v/>
      </c>
      <c r="C14" s="8" t="inlineStr">
        <is>
          <t>→ =CUARTIL.INC($B$4:$Q$4;3)</t>
        </is>
      </c>
    </row>
    <row r="15">
      <c r="A15" s="2" t="inlineStr">
        <is>
          <t>IQR</t>
        </is>
      </c>
      <c r="B15" s="7">
        <f>_xlfn.QUARTILE.INC($B$4:$Q$4,3)-_xlfn.QUARTILE.INC($B$4:$Q$4,1)</f>
        <v/>
      </c>
      <c r="C15" s="8" t="inlineStr">
        <is>
          <t>→ =CUARTIL.INC($B$4:$Q$4;3)-CUARTIL.INC($B$4:$Q$4;1)</t>
        </is>
      </c>
    </row>
    <row r="16"/>
    <row r="17">
      <c r="A17" s="14" t="inlineStr">
        <is>
          <t>Con la tabla agrupada (aproximado)</t>
        </is>
      </c>
    </row>
    <row r="18">
      <c r="A18" s="15" t="inlineStr">
        <is>
          <t>L inf</t>
        </is>
      </c>
      <c r="B18" s="15" t="inlineStr">
        <is>
          <t>L sup</t>
        </is>
      </c>
      <c r="C18" s="15" t="inlineStr">
        <is>
          <t>nᵢ</t>
        </is>
      </c>
      <c r="D18" s="15" t="inlineStr">
        <is>
          <t>Marca xᵢ</t>
        </is>
      </c>
      <c r="E18" s="15" t="inlineStr">
        <is>
          <t>Amplitud aᵢ</t>
        </is>
      </c>
      <c r="F18" s="15" t="inlineStr">
        <is>
          <t>Densidad dᵢ</t>
        </is>
      </c>
      <c r="G18" s="15" t="inlineStr">
        <is>
          <t>xᵢ·nᵢ</t>
        </is>
      </c>
      <c r="H18" s="15" t="inlineStr">
        <is>
          <t>xᵢ²·nᵢ</t>
        </is>
      </c>
      <c r="I18" s="15" t="inlineStr">
        <is>
          <t>Nᵢ (acum.)</t>
        </is>
      </c>
    </row>
    <row r="19">
      <c r="A19" s="10" t="n">
        <v>160</v>
      </c>
      <c r="B19" s="10" t="n">
        <v>170</v>
      </c>
      <c r="C19" s="10" t="n">
        <v>3</v>
      </c>
      <c r="D19" s="16">
        <f>(A19+B19)/2</f>
        <v/>
      </c>
      <c r="E19" s="16">
        <f>B19-A19</f>
        <v/>
      </c>
      <c r="F19" s="16">
        <f>C19/E19</f>
        <v/>
      </c>
      <c r="G19" s="16">
        <f>D19*C19</f>
        <v/>
      </c>
      <c r="H19" s="16">
        <f>D19^2*C19</f>
        <v/>
      </c>
      <c r="I19" s="16">
        <f>C19</f>
        <v/>
      </c>
    </row>
    <row r="20">
      <c r="A20" s="10" t="n">
        <v>170</v>
      </c>
      <c r="B20" s="10" t="n">
        <v>180</v>
      </c>
      <c r="C20" s="10" t="n">
        <v>6</v>
      </c>
      <c r="D20" s="16">
        <f>(A20+B20)/2</f>
        <v/>
      </c>
      <c r="E20" s="16">
        <f>B20-A20</f>
        <v/>
      </c>
      <c r="F20" s="16">
        <f>C20/E20</f>
        <v/>
      </c>
      <c r="G20" s="16">
        <f>D20*C20</f>
        <v/>
      </c>
      <c r="H20" s="16">
        <f>D20^2*C20</f>
        <v/>
      </c>
      <c r="I20" s="16">
        <f>I19+C20</f>
        <v/>
      </c>
    </row>
    <row r="21">
      <c r="A21" s="10" t="n">
        <v>180</v>
      </c>
      <c r="B21" s="10" t="n">
        <v>190</v>
      </c>
      <c r="C21" s="10" t="n">
        <v>5</v>
      </c>
      <c r="D21" s="16">
        <f>(A21+B21)/2</f>
        <v/>
      </c>
      <c r="E21" s="16">
        <f>B21-A21</f>
        <v/>
      </c>
      <c r="F21" s="16">
        <f>C21/E21</f>
        <v/>
      </c>
      <c r="G21" s="16">
        <f>D21*C21</f>
        <v/>
      </c>
      <c r="H21" s="16">
        <f>D21^2*C21</f>
        <v/>
      </c>
      <c r="I21" s="16">
        <f>I20+C21</f>
        <v/>
      </c>
    </row>
    <row r="22">
      <c r="A22" s="10" t="n">
        <v>190</v>
      </c>
      <c r="B22" s="10" t="n">
        <v>200</v>
      </c>
      <c r="C22" s="10" t="n">
        <v>2</v>
      </c>
      <c r="D22" s="16">
        <f>(A22+B22)/2</f>
        <v/>
      </c>
      <c r="E22" s="16">
        <f>B22-A22</f>
        <v/>
      </c>
      <c r="F22" s="16">
        <f>C22/E22</f>
        <v/>
      </c>
      <c r="G22" s="16">
        <f>D22*C22</f>
        <v/>
      </c>
      <c r="H22" s="16">
        <f>D22^2*C22</f>
        <v/>
      </c>
      <c r="I22" s="16">
        <f>I21+C22</f>
        <v/>
      </c>
    </row>
    <row r="23">
      <c r="A23" s="2" t="inlineStr">
        <is>
          <t>Total</t>
        </is>
      </c>
      <c r="C23" s="17">
        <f>SUM(C19:C22)</f>
        <v/>
      </c>
      <c r="G23" s="17">
        <f>SUM(G19:G22)</f>
        <v/>
      </c>
      <c r="H23" s="17">
        <f>SUM(H19:H22)</f>
        <v/>
      </c>
    </row>
    <row r="24"/>
    <row r="25">
      <c r="A25" s="2" t="inlineStr">
        <is>
          <t>Media</t>
        </is>
      </c>
      <c r="B25" s="7">
        <f>G23/C23</f>
        <v/>
      </c>
      <c r="C25" s="8" t="inlineStr">
        <is>
          <t>→ =G23/C23</t>
        </is>
      </c>
    </row>
    <row r="26">
      <c r="A26" s="2" t="inlineStr">
        <is>
          <t>Varianza S²</t>
        </is>
      </c>
      <c r="B26" s="7">
        <f>H23/C23-B25^2</f>
        <v/>
      </c>
      <c r="C26" s="8" t="inlineStr">
        <is>
          <t>→ =H23/C23-B25^2</t>
        </is>
      </c>
    </row>
    <row r="27">
      <c r="A27" s="2" t="inlineStr">
        <is>
          <t>Desviación típica S</t>
        </is>
      </c>
      <c r="B27" s="7">
        <f>SQRT(B26)</f>
        <v/>
      </c>
      <c r="C27" s="8" t="inlineStr">
        <is>
          <t>→ =RAIZ(B26)</t>
        </is>
      </c>
    </row>
    <row r="28">
      <c r="A28" s="2" t="inlineStr">
        <is>
          <t>Coef. de variación CV</t>
        </is>
      </c>
      <c r="B28" s="7">
        <f>B27/B25</f>
        <v/>
      </c>
      <c r="C28" s="8" t="inlineStr">
        <is>
          <t>→ =B27/B25</t>
        </is>
      </c>
    </row>
    <row r="29">
      <c r="A29" s="2" t="inlineStr">
        <is>
          <t>Moda (intervalos)</t>
        </is>
      </c>
      <c r="B29" s="7">
        <f>A20+(F20-F19)/((F20-F19)+(F20-F21))*E20</f>
        <v/>
      </c>
      <c r="C29" s="8" t="inlineStr">
        <is>
          <t>→ =A20+(F20-F19)/((F20-F19)+(F20-F21))*E20</t>
        </is>
      </c>
      <c r="F29" s="5" t="inlineStr">
        <is>
          <t>Intervalo modal: fila 20 (mayor densidad)</t>
        </is>
      </c>
    </row>
    <row r="30">
      <c r="A30" s="2" t="inlineStr">
        <is>
          <t>Mediana</t>
        </is>
      </c>
      <c r="B30" s="7">
        <f>A20+(0.5*C23-I19)/C20*E20</f>
        <v/>
      </c>
      <c r="C30" s="8" t="inlineStr">
        <is>
          <t>→ =A20+(0,5*C23-I19)/C20*E20</t>
        </is>
      </c>
      <c r="F30" s="5" t="inlineStr">
        <is>
          <t>Intervalo de la fila 20</t>
        </is>
      </c>
    </row>
    <row r="31">
      <c r="A31" s="2" t="inlineStr">
        <is>
          <t>C₁</t>
        </is>
      </c>
      <c r="B31" s="7">
        <f>A20+(0.25*C23-I19)/C20*E20</f>
        <v/>
      </c>
      <c r="C31" s="8" t="inlineStr">
        <is>
          <t>→ =A20+(0,25*C23-I19)/C20*E20</t>
        </is>
      </c>
      <c r="F31" s="5" t="inlineStr">
        <is>
          <t>Intervalo de la fila 20</t>
        </is>
      </c>
    </row>
    <row r="32">
      <c r="A32" s="2" t="inlineStr">
        <is>
          <t>C₃</t>
        </is>
      </c>
      <c r="B32" s="7">
        <f>A21+(0.75*C23-I20)/C21*E21</f>
        <v/>
      </c>
      <c r="C32" s="8" t="inlineStr">
        <is>
          <t>→ =A21+(0,75*C23-I20)/C21*E21</t>
        </is>
      </c>
      <c r="F32" s="5" t="inlineStr">
        <is>
          <t>Intervalo de la fila 21</t>
        </is>
      </c>
    </row>
    <row r="33">
      <c r="A33" s="2" t="inlineStr">
        <is>
          <t>P₇₀</t>
        </is>
      </c>
      <c r="B33" s="7">
        <f>A21+(0.7*C23-I20)/C21*E21</f>
        <v/>
      </c>
      <c r="C33" s="8" t="inlineStr">
        <is>
          <t>→ =A21+(0,7*C23-I20)/C21*E21</t>
        </is>
      </c>
      <c r="F33" s="5" t="inlineStr">
        <is>
          <t>Intervalo de la fila 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1 · Media ponderada, media truncada, transformaciones, CV, subpoblaciones</t>
        </is>
      </c>
    </row>
    <row r="2"/>
    <row r="3">
      <c r="A3" s="14" t="inlineStr">
        <is>
          <t>Media ponderada (salario medio por categoría)</t>
        </is>
      </c>
    </row>
    <row r="4">
      <c r="A4" s="15" t="inlineStr">
        <is>
          <t>Categoría</t>
        </is>
      </c>
      <c r="B4" s="15" t="inlineStr">
        <is>
          <t>Salario medio</t>
        </is>
      </c>
      <c r="C4" s="15" t="inlineStr">
        <is>
          <t>Tamaño T</t>
        </is>
      </c>
    </row>
    <row r="5">
      <c r="A5" s="11" t="inlineStr">
        <is>
          <t>Administrativos</t>
        </is>
      </c>
      <c r="B5" s="10" t="n">
        <v>1900</v>
      </c>
      <c r="C5" s="10" t="n">
        <v>450</v>
      </c>
    </row>
    <row r="6">
      <c r="A6" s="11" t="inlineStr">
        <is>
          <t>Técnicos</t>
        </is>
      </c>
      <c r="B6" s="10" t="n">
        <v>2300</v>
      </c>
      <c r="C6" s="10" t="n">
        <v>328</v>
      </c>
    </row>
    <row r="7">
      <c r="A7" s="11" t="inlineStr">
        <is>
          <t>Jefes de sección</t>
        </is>
      </c>
      <c r="B7" s="10" t="n">
        <v>2580</v>
      </c>
      <c r="C7" s="10" t="n">
        <v>45</v>
      </c>
    </row>
    <row r="8">
      <c r="A8" s="11" t="inlineStr">
        <is>
          <t>Altos cargos</t>
        </is>
      </c>
      <c r="B8" s="10" t="n">
        <v>4000</v>
      </c>
      <c r="C8" s="10" t="n">
        <v>3</v>
      </c>
    </row>
    <row r="9">
      <c r="A9" s="2" t="inlineStr">
        <is>
          <t>Media BIEN (ponderada)</t>
        </is>
      </c>
      <c r="B9" s="18">
        <f>SUMPRODUCT(B5:B8,C5:C8)/SUM(C5:C8)</f>
        <v/>
      </c>
      <c r="C9" s="8" t="inlineStr">
        <is>
          <t>→ =SUMAPRODUCTO(B5:B8;C5:C8)/SUMA(C5:C8)</t>
        </is>
      </c>
    </row>
    <row r="10">
      <c r="A10" s="2" t="inlineStr">
        <is>
          <t>Media MAL (sin ponderar)</t>
        </is>
      </c>
      <c r="B10" s="18">
        <f>AVERAGE(B5:B8)</f>
        <v/>
      </c>
      <c r="C10" s="8" t="inlineStr">
        <is>
          <t>→ =PROMEDIO(B5:B8)</t>
        </is>
      </c>
      <c r="F10" s="5" t="inlineStr">
        <is>
          <t>¡Error típico! No usar.</t>
        </is>
      </c>
    </row>
    <row r="11"/>
    <row r="12">
      <c r="A12" s="14" t="inlineStr">
        <is>
          <t>Media truncada al 10 %</t>
        </is>
      </c>
    </row>
    <row r="13">
      <c r="A13" s="15" t="inlineStr">
        <is>
          <t>Salario (miles)</t>
        </is>
      </c>
    </row>
    <row r="14">
      <c r="A14" s="10" t="n">
        <v>20</v>
      </c>
    </row>
    <row r="15">
      <c r="A15" s="10" t="n">
        <v>22</v>
      </c>
    </row>
    <row r="16">
      <c r="A16" s="10" t="n">
        <v>23</v>
      </c>
    </row>
    <row r="17">
      <c r="A17" s="10" t="n">
        <v>24</v>
      </c>
    </row>
    <row r="18">
      <c r="A18" s="10" t="n">
        <v>25</v>
      </c>
    </row>
    <row r="19">
      <c r="A19" s="10" t="n">
        <v>26</v>
      </c>
    </row>
    <row r="20">
      <c r="A20" s="10" t="n">
        <v>27</v>
      </c>
    </row>
    <row r="21">
      <c r="A21" s="10" t="n">
        <v>28</v>
      </c>
    </row>
    <row r="22">
      <c r="A22" s="10" t="n">
        <v>35</v>
      </c>
    </row>
    <row r="23">
      <c r="A23" s="10" t="n">
        <v>50</v>
      </c>
    </row>
    <row r="24">
      <c r="A24" s="2" t="inlineStr">
        <is>
          <t>Media normal</t>
        </is>
      </c>
      <c r="B24" s="7">
        <f>AVERAGE(A14:A23)</f>
        <v/>
      </c>
      <c r="C24" s="8" t="inlineStr">
        <is>
          <t>→ =PROMEDIO(A14:A23)</t>
        </is>
      </c>
    </row>
    <row r="25">
      <c r="A25" s="2" t="inlineStr">
        <is>
          <t>Media truncada 10 %</t>
        </is>
      </c>
      <c r="B25" s="7">
        <f>TRIMMEAN(A14:A23,0.2)</f>
        <v/>
      </c>
      <c r="C25" s="8" t="inlineStr">
        <is>
          <t>→ =MEDIA.ACOTADA(A14:A23;0,2)</t>
        </is>
      </c>
      <c r="F25" s="5" t="inlineStr">
        <is>
          <t>0,2 = 10 % por abajo + 10 % por arriba</t>
        </is>
      </c>
    </row>
    <row r="26"/>
    <row r="27">
      <c r="A27" s="14" t="inlineStr">
        <is>
          <t>Cambios de origen y escala</t>
        </is>
      </c>
    </row>
    <row r="28">
      <c r="A28" s="15" t="inlineStr">
        <is>
          <t>Salario X</t>
        </is>
      </c>
      <c r="B28" s="15" t="inlineStr">
        <is>
          <t>X + 200</t>
        </is>
      </c>
      <c r="C28" s="15" t="inlineStr">
        <is>
          <t>1,03·X</t>
        </is>
      </c>
      <c r="D28" s="15" t="inlineStr">
        <is>
          <t>1,03·X + 200</t>
        </is>
      </c>
    </row>
    <row r="29">
      <c r="A29" s="10" t="n">
        <v>1500</v>
      </c>
      <c r="B29" s="16">
        <f>A29+200</f>
        <v/>
      </c>
      <c r="C29" s="16">
        <f>1.03*A29</f>
        <v/>
      </c>
      <c r="D29" s="16">
        <f>1.03*A29+200</f>
        <v/>
      </c>
    </row>
    <row r="30">
      <c r="A30" s="10" t="n">
        <v>3900</v>
      </c>
      <c r="B30" s="16">
        <f>A30+200</f>
        <v/>
      </c>
      <c r="C30" s="16">
        <f>1.03*A30</f>
        <v/>
      </c>
      <c r="D30" s="16">
        <f>1.03*A30+200</f>
        <v/>
      </c>
    </row>
    <row r="31">
      <c r="A31" s="10" t="n">
        <v>980</v>
      </c>
      <c r="B31" s="16">
        <f>A31+200</f>
        <v/>
      </c>
      <c r="C31" s="16">
        <f>1.03*A31</f>
        <v/>
      </c>
      <c r="D31" s="16">
        <f>1.03*A31+200</f>
        <v/>
      </c>
    </row>
    <row r="32">
      <c r="A32" s="10" t="n">
        <v>2000</v>
      </c>
      <c r="B32" s="16">
        <f>A32+200</f>
        <v/>
      </c>
      <c r="C32" s="16">
        <f>1.03*A32</f>
        <v/>
      </c>
      <c r="D32" s="16">
        <f>1.03*A32+200</f>
        <v/>
      </c>
    </row>
    <row r="33">
      <c r="A33" s="10" t="n">
        <v>3650</v>
      </c>
      <c r="B33" s="16">
        <f>A33+200</f>
        <v/>
      </c>
      <c r="C33" s="16">
        <f>1.03*A33</f>
        <v/>
      </c>
      <c r="D33" s="16">
        <f>1.03*A33+200</f>
        <v/>
      </c>
    </row>
    <row r="34">
      <c r="A34" s="19">
        <f>AVERAGE(A29:A33)</f>
        <v/>
      </c>
      <c r="B34" s="19">
        <f>AVERAGE(B29:B33)</f>
        <v/>
      </c>
      <c r="C34" s="19">
        <f>AVERAGE(C29:C33)</f>
        <v/>
      </c>
      <c r="D34" s="19">
        <f>AVERAGE(D29:D33)</f>
        <v/>
      </c>
      <c r="F34" s="5" t="inlineStr">
        <is>
          <t>← medias: 2406 · 2606 · 2478,18 · 2678,18</t>
        </is>
      </c>
    </row>
    <row r="35"/>
    <row r="36">
      <c r="A36" s="14" t="inlineStr">
        <is>
          <t>Coeficiente de variación: sector energético vs creativo</t>
        </is>
      </c>
    </row>
    <row r="37">
      <c r="A37" s="15" t="inlineStr">
        <is>
          <t>Energético</t>
        </is>
      </c>
      <c r="B37" s="15" t="inlineStr">
        <is>
          <t>Creativo</t>
        </is>
      </c>
    </row>
    <row r="38">
      <c r="A38" s="10" t="n">
        <v>500</v>
      </c>
      <c r="B38" s="10" t="n">
        <v>1</v>
      </c>
    </row>
    <row r="39">
      <c r="A39" s="10" t="n">
        <v>550</v>
      </c>
      <c r="B39" s="10" t="n">
        <v>4</v>
      </c>
    </row>
    <row r="40">
      <c r="A40" s="10" t="n">
        <v>600</v>
      </c>
      <c r="B40" s="10" t="n">
        <v>8</v>
      </c>
    </row>
    <row r="41">
      <c r="A41" s="2" t="inlineStr">
        <is>
          <t>CV energético</t>
        </is>
      </c>
      <c r="B41" s="7">
        <f>_xlfn.STDEV.P(A38:A40)/AVERAGE(A38:A40)</f>
        <v/>
      </c>
      <c r="C41" s="8" t="inlineStr">
        <is>
          <t>→ =DESVEST.P(A38:A40)/PROMEDIO(A38:A40)</t>
        </is>
      </c>
    </row>
    <row r="42">
      <c r="A42" s="2" t="inlineStr">
        <is>
          <t>CV creativo</t>
        </is>
      </c>
      <c r="B42" s="7">
        <f>_xlfn.STDEV.P(B38:B40)/AVERAGE(B38:B40)</f>
        <v/>
      </c>
      <c r="C42" s="8" t="inlineStr">
        <is>
          <t>→ =DESVEST.P(B38:B40)/PROMEDIO(B38:B40)</t>
        </is>
      </c>
      <c r="F42" s="5" t="inlineStr">
        <is>
          <t>Mucha más dispersión relativa en el creativo</t>
        </is>
      </c>
    </row>
    <row r="43"/>
    <row r="44">
      <c r="A44" s="14" t="inlineStr">
        <is>
          <t>Varianza en subpoblaciones (ejemplo A, B, C)</t>
        </is>
      </c>
    </row>
    <row r="45">
      <c r="A45" s="15" t="inlineStr">
        <is>
          <t>Grupo</t>
        </is>
      </c>
      <c r="B45" s="15" t="inlineStr">
        <is>
          <t>Tamaño</t>
        </is>
      </c>
      <c r="C45" s="15" t="inlineStr">
        <is>
          <t>Media</t>
        </is>
      </c>
      <c r="D45" s="15" t="inlineStr">
        <is>
          <t>Varianza</t>
        </is>
      </c>
      <c r="E45" s="15" t="inlineStr">
        <is>
          <t>(media−global)²·T</t>
        </is>
      </c>
    </row>
    <row r="46">
      <c r="A46" s="11" t="inlineStr">
        <is>
          <t>A</t>
        </is>
      </c>
      <c r="B46" s="10" t="n">
        <v>150</v>
      </c>
      <c r="C46" s="10" t="n">
        <v>10</v>
      </c>
      <c r="D46" s="10" t="n">
        <v>10</v>
      </c>
      <c r="E46" s="11">
        <f>(C46-$B$49)^2*B46</f>
        <v/>
      </c>
    </row>
    <row r="47">
      <c r="A47" s="11" t="inlineStr">
        <is>
          <t>B</t>
        </is>
      </c>
      <c r="B47" s="10" t="n">
        <v>200</v>
      </c>
      <c r="C47" s="10" t="n">
        <v>10</v>
      </c>
      <c r="D47" s="10" t="n">
        <v>25</v>
      </c>
      <c r="E47" s="11">
        <f>(C47-$B$49)^2*B47</f>
        <v/>
      </c>
    </row>
    <row r="48">
      <c r="A48" s="11" t="inlineStr">
        <is>
          <t>C</t>
        </is>
      </c>
      <c r="B48" s="10" t="n">
        <v>150</v>
      </c>
      <c r="C48" s="10" t="n">
        <v>12</v>
      </c>
      <c r="D48" s="10" t="n">
        <v>16</v>
      </c>
      <c r="E48" s="11">
        <f>(C48-$B$49)^2*B48</f>
        <v/>
      </c>
    </row>
    <row r="49">
      <c r="A49" s="2" t="inlineStr">
        <is>
          <t>Media global</t>
        </is>
      </c>
      <c r="B49" s="7">
        <f>SUMPRODUCT(B46:B48,C46:C48)/SUM(B46:B48)</f>
        <v/>
      </c>
      <c r="C49" s="8" t="inlineStr">
        <is>
          <t>→ =SUMAPRODUCTO(B46:B48;C46:C48)/SUMA(B46:B48)</t>
        </is>
      </c>
    </row>
    <row r="50">
      <c r="A50" s="2" t="inlineStr">
        <is>
          <t>Varianza dentro</t>
        </is>
      </c>
      <c r="B50" s="7">
        <f>SUMPRODUCT(B46:B48,D46:D48)/SUM(B46:B48)</f>
        <v/>
      </c>
      <c r="C50" s="8" t="inlineStr">
        <is>
          <t>→ =SUMAPRODUCTO(B46:B48;D46:D48)/SUMA(B46:B48)</t>
        </is>
      </c>
    </row>
    <row r="51">
      <c r="A51" s="2" t="inlineStr">
        <is>
          <t>Varianza entre</t>
        </is>
      </c>
      <c r="B51" s="7">
        <f>SUM(E46:E48)/SUM(B46:B48)</f>
        <v/>
      </c>
      <c r="C51" s="8" t="inlineStr">
        <is>
          <t>→ =SUMA(E46:E48)/SUMA(B46:B48)</t>
        </is>
      </c>
    </row>
    <row r="52">
      <c r="A52" s="2" t="inlineStr">
        <is>
          <t>Varianza total</t>
        </is>
      </c>
      <c r="B52" s="7">
        <f>B50+B51</f>
        <v/>
      </c>
      <c r="C52" s="8" t="inlineStr">
        <is>
          <t>→ =B50+B51</t>
        </is>
      </c>
    </row>
    <row r="53">
      <c r="A53" s="2" t="inlineStr">
        <is>
          <t>% entre grupos</t>
        </is>
      </c>
      <c r="B53" s="20">
        <f>B51/B52</f>
        <v/>
      </c>
      <c r="C53" s="8" t="inlineStr">
        <is>
          <t>→ =B51/B52</t>
        </is>
      </c>
    </row>
    <row r="54"/>
    <row r="55">
      <c r="A55" s="14" t="inlineStr">
        <is>
          <t>Tipificar (dos exámenes)</t>
        </is>
      </c>
    </row>
    <row r="56">
      <c r="A56" s="2" t="inlineStr">
        <is>
          <t>z examen 1</t>
        </is>
      </c>
      <c r="B56" s="7">
        <f>STANDARDIZE(6,7,2)</f>
        <v/>
      </c>
      <c r="C56" s="8" t="inlineStr">
        <is>
          <t>→ =NORMALIZACION(6;7;2)</t>
        </is>
      </c>
    </row>
    <row r="57">
      <c r="A57" s="2" t="inlineStr">
        <is>
          <t>z examen 2</t>
        </is>
      </c>
      <c r="B57" s="7">
        <f>STANDARDIZE(5,4.5,1)</f>
        <v/>
      </c>
      <c r="C57" s="8" t="inlineStr">
        <is>
          <t>→ =NORMALIZACION(5;4,5;1)</t>
        </is>
      </c>
      <c r="F57" s="5" t="inlineStr">
        <is>
          <t>Mejor posición relativa en el segundo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1 · Ejercicio de los apuntes: cuartiles y P30, P70</t>
        </is>
      </c>
    </row>
    <row r="2"/>
    <row r="3">
      <c r="A3" s="15" t="inlineStr">
        <is>
          <t>L inf</t>
        </is>
      </c>
      <c r="B3" s="15" t="inlineStr">
        <is>
          <t>L sup</t>
        </is>
      </c>
      <c r="C3" s="15" t="inlineStr">
        <is>
          <t>nᵢ</t>
        </is>
      </c>
      <c r="D3" s="15" t="inlineStr">
        <is>
          <t>Marca xᵢ</t>
        </is>
      </c>
      <c r="E3" s="15" t="inlineStr">
        <is>
          <t>Amplitud aᵢ</t>
        </is>
      </c>
      <c r="F3" s="15" t="inlineStr">
        <is>
          <t>Densidad dᵢ</t>
        </is>
      </c>
      <c r="G3" s="15" t="inlineStr">
        <is>
          <t>xᵢ·nᵢ</t>
        </is>
      </c>
      <c r="H3" s="15" t="inlineStr">
        <is>
          <t>xᵢ²·nᵢ</t>
        </is>
      </c>
      <c r="I3" s="15" t="inlineStr">
        <is>
          <t>Nᵢ (acum.)</t>
        </is>
      </c>
    </row>
    <row r="4">
      <c r="A4" s="10" t="n">
        <v>10</v>
      </c>
      <c r="B4" s="10" t="n">
        <v>13</v>
      </c>
      <c r="C4" s="10" t="n">
        <v>15</v>
      </c>
      <c r="D4" s="16">
        <f>(A4+B4)/2</f>
        <v/>
      </c>
      <c r="E4" s="16">
        <f>B4-A4</f>
        <v/>
      </c>
      <c r="F4" s="16">
        <f>C4/E4</f>
        <v/>
      </c>
      <c r="G4" s="16">
        <f>D4*C4</f>
        <v/>
      </c>
      <c r="H4" s="16">
        <f>D4^2*C4</f>
        <v/>
      </c>
      <c r="I4" s="16">
        <f>C4</f>
        <v/>
      </c>
    </row>
    <row r="5">
      <c r="A5" s="10" t="n">
        <v>13</v>
      </c>
      <c r="B5" s="10" t="n">
        <v>18</v>
      </c>
      <c r="C5" s="10" t="n">
        <v>29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I4+C5</f>
        <v/>
      </c>
    </row>
    <row r="6">
      <c r="A6" s="10" t="n">
        <v>18</v>
      </c>
      <c r="B6" s="10" t="n">
        <v>25</v>
      </c>
      <c r="C6" s="10" t="n">
        <v>56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2" t="inlineStr">
        <is>
          <t>Total</t>
        </is>
      </c>
      <c r="C7" s="17">
        <f>SUM(C4:C6)</f>
        <v/>
      </c>
      <c r="G7" s="17">
        <f>SUM(G4:G6)</f>
        <v/>
      </c>
      <c r="H7" s="17">
        <f>SUM(H4:H6)</f>
        <v/>
      </c>
    </row>
    <row r="8"/>
    <row r="9">
      <c r="A9" s="2" t="inlineStr">
        <is>
          <t>C₁</t>
        </is>
      </c>
      <c r="B9" s="7">
        <f>A5+(0.25*C7-I4)/C5*E5</f>
        <v/>
      </c>
      <c r="C9" s="8" t="inlineStr">
        <is>
          <t>→ =A5+(0,25*C7-I4)/C5*E5</t>
        </is>
      </c>
      <c r="F9" s="5" t="inlineStr">
        <is>
          <t>Intervalo de la fila 5</t>
        </is>
      </c>
    </row>
    <row r="10">
      <c r="A10" s="2" t="inlineStr">
        <is>
          <t>C₂ (mediana)</t>
        </is>
      </c>
      <c r="B10" s="7">
        <f>A6+(0.5*C7-I5)/C6*E6</f>
        <v/>
      </c>
      <c r="C10" s="8" t="inlineStr">
        <is>
          <t>→ =A6+(0,5*C7-I5)/C6*E6</t>
        </is>
      </c>
      <c r="F10" s="5" t="inlineStr">
        <is>
          <t>Intervalo de la fila 6</t>
        </is>
      </c>
    </row>
    <row r="11">
      <c r="A11" s="2" t="inlineStr">
        <is>
          <t>C₃</t>
        </is>
      </c>
      <c r="B11" s="7">
        <f>A6+(0.75*C7-I5)/C6*E6</f>
        <v/>
      </c>
      <c r="C11" s="8" t="inlineStr">
        <is>
          <t>→ =A6+(0,75*C7-I5)/C6*E6</t>
        </is>
      </c>
      <c r="F11" s="5" t="inlineStr">
        <is>
          <t>Intervalo de la fila 6</t>
        </is>
      </c>
    </row>
    <row r="12">
      <c r="A12" s="2" t="inlineStr">
        <is>
          <t>P₃₀</t>
        </is>
      </c>
      <c r="B12" s="7">
        <f>A5+(0.3*C7-I4)/C5*E5</f>
        <v/>
      </c>
      <c r="C12" s="8" t="inlineStr">
        <is>
          <t>→ =A5+(0,3*C7-I4)/C5*E5</t>
        </is>
      </c>
      <c r="F12" s="5" t="inlineStr">
        <is>
          <t>Intervalo de la fila 5</t>
        </is>
      </c>
    </row>
    <row r="13">
      <c r="A13" s="2" t="inlineStr">
        <is>
          <t>P₇₀</t>
        </is>
      </c>
      <c r="B13" s="7">
        <f>A6+(0.7*C7-I5)/C6*E6</f>
        <v/>
      </c>
      <c r="C13" s="8" t="inlineStr">
        <is>
          <t>→ =A6+(0,7*C7-I5)/C6*E6</t>
        </is>
      </c>
      <c r="F13" s="5" t="inlineStr">
        <is>
          <t>Intervalo de la fila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2 · Departamento y modalidad (dependientes) / Sexo y contrato (independientes)</t>
        </is>
      </c>
    </row>
    <row r="2"/>
    <row r="3">
      <c r="A3" s="14" t="inlineStr">
        <is>
          <t>Ejemplo 1 · Departamento × Modalidad</t>
        </is>
      </c>
    </row>
    <row r="4">
      <c r="A4" s="15" t="inlineStr"/>
      <c r="B4" s="15" t="inlineStr">
        <is>
          <t>Presencial</t>
        </is>
      </c>
      <c r="C4" s="15" t="inlineStr">
        <is>
          <t>Híbrido</t>
        </is>
      </c>
      <c r="D4" s="15" t="inlineStr">
        <is>
          <t>Remoto</t>
        </is>
      </c>
      <c r="E4" s="15" t="inlineStr">
        <is>
          <t>Total</t>
        </is>
      </c>
    </row>
    <row r="5">
      <c r="A5" s="11" t="inlineStr">
        <is>
          <t>RRHH</t>
        </is>
      </c>
      <c r="B5" s="10" t="n">
        <v>8</v>
      </c>
      <c r="C5" s="10" t="n">
        <v>3</v>
      </c>
      <c r="D5" s="10" t="n">
        <v>2</v>
      </c>
      <c r="E5" s="11">
        <f>SUM(B5:D5)</f>
        <v/>
      </c>
    </row>
    <row r="6">
      <c r="A6" s="11" t="inlineStr">
        <is>
          <t>Finanzas</t>
        </is>
      </c>
      <c r="B6" s="10" t="n">
        <v>5</v>
      </c>
      <c r="C6" s="10" t="n">
        <v>4</v>
      </c>
      <c r="D6" s="10" t="n">
        <v>1</v>
      </c>
      <c r="E6" s="11">
        <f>SUM(B6:D6)</f>
        <v/>
      </c>
    </row>
    <row r="7">
      <c r="A7" s="11" t="inlineStr">
        <is>
          <t>Producción</t>
        </is>
      </c>
      <c r="B7" s="10" t="n">
        <v>10</v>
      </c>
      <c r="C7" s="10" t="n">
        <v>6</v>
      </c>
      <c r="D7" s="10" t="n">
        <v>1</v>
      </c>
      <c r="E7" s="11">
        <f>SUM(B7:D7)</f>
        <v/>
      </c>
    </row>
    <row r="8">
      <c r="A8" s="2" t="inlineStr">
        <is>
          <t>Total</t>
        </is>
      </c>
      <c r="B8">
        <f>SUM(B5:B7)</f>
        <v/>
      </c>
      <c r="C8">
        <f>SUM(C5:C7)</f>
        <v/>
      </c>
      <c r="D8">
        <f>SUM(D5:D7)</f>
        <v/>
      </c>
      <c r="E8">
        <f>SUM(E5:E7)</f>
        <v/>
      </c>
    </row>
    <row r="9"/>
    <row r="10">
      <c r="A10" s="21" t="inlineStr">
        <is>
          <t>Frecuencias relativas conjuntas fᵢⱼ = nᵢⱼ / n</t>
        </is>
      </c>
    </row>
    <row r="11">
      <c r="A11" s="15" t="inlineStr"/>
      <c r="B11" s="15" t="inlineStr">
        <is>
          <t>Presencial</t>
        </is>
      </c>
      <c r="C11" s="15" t="inlineStr">
        <is>
          <t>Híbrido</t>
        </is>
      </c>
      <c r="D11" s="15" t="inlineStr">
        <is>
          <t>Remoto</t>
        </is>
      </c>
      <c r="E11" s="15" t="inlineStr">
        <is>
          <t>fᵢ.</t>
        </is>
      </c>
    </row>
    <row r="12">
      <c r="A12" s="11" t="inlineStr">
        <is>
          <t>RRHH</t>
        </is>
      </c>
      <c r="B12" s="16">
        <f>B5/$E$8</f>
        <v/>
      </c>
      <c r="C12" s="16">
        <f>C5/$E$8</f>
        <v/>
      </c>
      <c r="D12" s="16">
        <f>D5/$E$8</f>
        <v/>
      </c>
      <c r="E12" s="16">
        <f>E5/$E$8</f>
        <v/>
      </c>
    </row>
    <row r="13">
      <c r="A13" s="11" t="inlineStr">
        <is>
          <t>Finanzas</t>
        </is>
      </c>
      <c r="B13" s="16">
        <f>B6/$E$8</f>
        <v/>
      </c>
      <c r="C13" s="16">
        <f>C6/$E$8</f>
        <v/>
      </c>
      <c r="D13" s="16">
        <f>D6/$E$8</f>
        <v/>
      </c>
      <c r="E13" s="16">
        <f>E6/$E$8</f>
        <v/>
      </c>
    </row>
    <row r="14">
      <c r="A14" s="11" t="inlineStr">
        <is>
          <t>Producción</t>
        </is>
      </c>
      <c r="B14" s="16">
        <f>B7/$E$8</f>
        <v/>
      </c>
      <c r="C14" s="16">
        <f>C7/$E$8</f>
        <v/>
      </c>
      <c r="D14" s="16">
        <f>D7/$E$8</f>
        <v/>
      </c>
      <c r="E14" s="16">
        <f>E7/$E$8</f>
        <v/>
      </c>
    </row>
    <row r="15">
      <c r="A15" s="2" t="inlineStr">
        <is>
          <t>f.ⱼ</t>
        </is>
      </c>
      <c r="B15">
        <f>SUM(B12:B14)</f>
        <v/>
      </c>
      <c r="C15">
        <f>SUM(C12:C14)</f>
        <v/>
      </c>
      <c r="D15">
        <f>SUM(D12:D14)</f>
        <v/>
      </c>
      <c r="E15">
        <f>SUM(E12:E14)</f>
        <v/>
      </c>
    </row>
    <row r="16"/>
    <row r="17">
      <c r="A17" s="21" t="inlineStr">
        <is>
          <t>Si fueran independientes: fᵢ. × f.ⱼ  (compara casilla a casilla con la tabla de arriba)</t>
        </is>
      </c>
    </row>
    <row r="18">
      <c r="A18" s="15" t="inlineStr"/>
      <c r="B18" s="15" t="inlineStr">
        <is>
          <t>Presencial</t>
        </is>
      </c>
      <c r="C18" s="15" t="inlineStr">
        <is>
          <t>Híbrido</t>
        </is>
      </c>
      <c r="D18" s="15" t="inlineStr">
        <is>
          <t>Remoto</t>
        </is>
      </c>
    </row>
    <row r="19">
      <c r="A19" s="11" t="inlineStr">
        <is>
          <t>RRHH</t>
        </is>
      </c>
      <c r="B19" s="16">
        <f>$E12*B$15</f>
        <v/>
      </c>
      <c r="C19" s="16">
        <f>$E12*C$15</f>
        <v/>
      </c>
      <c r="D19" s="16">
        <f>$E12*D$15</f>
        <v/>
      </c>
    </row>
    <row r="20">
      <c r="A20" s="11" t="inlineStr">
        <is>
          <t>Finanzas</t>
        </is>
      </c>
      <c r="B20" s="16">
        <f>$E13*B$15</f>
        <v/>
      </c>
      <c r="C20" s="16">
        <f>$E13*C$15</f>
        <v/>
      </c>
      <c r="D20" s="16">
        <f>$E13*D$15</f>
        <v/>
      </c>
    </row>
    <row r="21">
      <c r="A21" s="11" t="inlineStr">
        <is>
          <t>Producción</t>
        </is>
      </c>
      <c r="B21" s="16">
        <f>$E14*B$15</f>
        <v/>
      </c>
      <c r="C21" s="16">
        <f>$E14*C$15</f>
        <v/>
      </c>
      <c r="D21" s="16">
        <f>$E14*D$15</f>
        <v/>
      </c>
    </row>
    <row r="22"/>
    <row r="23">
      <c r="A23" s="21" t="inlineStr">
        <is>
          <t>Distribuciones condicionadas por filas (% de cada fila)</t>
        </is>
      </c>
    </row>
    <row r="24">
      <c r="A24" s="15" t="inlineStr"/>
      <c r="B24" s="15" t="inlineStr">
        <is>
          <t>Presencial</t>
        </is>
      </c>
      <c r="C24" s="15" t="inlineStr">
        <is>
          <t>Híbrido</t>
        </is>
      </c>
      <c r="D24" s="15" t="inlineStr">
        <is>
          <t>Remoto</t>
        </is>
      </c>
    </row>
    <row r="25">
      <c r="A25" s="11" t="inlineStr">
        <is>
          <t>RRHH</t>
        </is>
      </c>
      <c r="B25" s="22">
        <f>B5/$E5</f>
        <v/>
      </c>
      <c r="C25" s="22">
        <f>C5/$E5</f>
        <v/>
      </c>
      <c r="D25" s="22">
        <f>D5/$E5</f>
        <v/>
      </c>
    </row>
    <row r="26">
      <c r="A26" s="11" t="inlineStr">
        <is>
          <t>Finanzas</t>
        </is>
      </c>
      <c r="B26" s="22">
        <f>B6/$E6</f>
        <v/>
      </c>
      <c r="C26" s="22">
        <f>C6/$E6</f>
        <v/>
      </c>
      <c r="D26" s="22">
        <f>D6/$E6</f>
        <v/>
      </c>
    </row>
    <row r="27">
      <c r="A27" s="11" t="inlineStr">
        <is>
          <t>Producción</t>
        </is>
      </c>
      <c r="B27" s="22">
        <f>B7/$E7</f>
        <v/>
      </c>
      <c r="C27" s="22">
        <f>C7/$E7</f>
        <v/>
      </c>
      <c r="D27" s="22">
        <f>D7/$E7</f>
        <v/>
      </c>
    </row>
    <row r="28"/>
    <row r="29">
      <c r="A29" s="21" t="inlineStr">
        <is>
          <t>Conclusión: 0,2000 ≠ 0,1869 en la primera casilla → NO independientes.</t>
        </is>
      </c>
    </row>
    <row r="30"/>
    <row r="31">
      <c r="A31" s="14" t="inlineStr">
        <is>
          <t>Ejemplo 7 · Sexo × Contrato</t>
        </is>
      </c>
    </row>
    <row r="32">
      <c r="A32" s="15" t="inlineStr"/>
      <c r="B32" s="15" t="inlineStr">
        <is>
          <t>Indefinido</t>
        </is>
      </c>
      <c r="C32" s="15" t="inlineStr">
        <is>
          <t>Temporal</t>
        </is>
      </c>
      <c r="D32" s="15" t="inlineStr">
        <is>
          <t>Parcial</t>
        </is>
      </c>
      <c r="E32" s="15" t="inlineStr">
        <is>
          <t>Total</t>
        </is>
      </c>
    </row>
    <row r="33">
      <c r="A33" s="11" t="inlineStr">
        <is>
          <t>Hombre</t>
        </is>
      </c>
      <c r="B33" s="10" t="n">
        <v>90</v>
      </c>
      <c r="C33" s="10" t="n">
        <v>60</v>
      </c>
      <c r="D33" s="10" t="n">
        <v>30</v>
      </c>
      <c r="E33" s="11">
        <f>SUM(B33:D33)</f>
        <v/>
      </c>
    </row>
    <row r="34">
      <c r="A34" s="11" t="inlineStr">
        <is>
          <t>Mujer</t>
        </is>
      </c>
      <c r="B34" s="10" t="n">
        <v>30</v>
      </c>
      <c r="C34" s="10" t="n">
        <v>20</v>
      </c>
      <c r="D34" s="10" t="n">
        <v>10</v>
      </c>
      <c r="E34" s="11">
        <f>SUM(B34:D34)</f>
        <v/>
      </c>
    </row>
    <row r="35">
      <c r="A35" s="2" t="inlineStr">
        <is>
          <t>Total</t>
        </is>
      </c>
      <c r="B35">
        <f>SUM(B33:B34)</f>
        <v/>
      </c>
      <c r="C35">
        <f>SUM(C33:C34)</f>
        <v/>
      </c>
      <c r="D35">
        <f>SUM(D33:D34)</f>
        <v/>
      </c>
      <c r="E35">
        <f>SUM(E33:E34)</f>
        <v/>
      </c>
    </row>
    <row r="36"/>
    <row r="37">
      <c r="A37" s="21" t="inlineStr">
        <is>
          <t>Frecuencias relativas conjuntas fᵢⱼ = nᵢⱼ / n</t>
        </is>
      </c>
    </row>
    <row r="38">
      <c r="A38" s="15" t="inlineStr"/>
      <c r="B38" s="15" t="inlineStr">
        <is>
          <t>Indefinido</t>
        </is>
      </c>
      <c r="C38" s="15" t="inlineStr">
        <is>
          <t>Temporal</t>
        </is>
      </c>
      <c r="D38" s="15" t="inlineStr">
        <is>
          <t>Parcial</t>
        </is>
      </c>
      <c r="E38" s="15" t="inlineStr">
        <is>
          <t>fᵢ.</t>
        </is>
      </c>
    </row>
    <row r="39">
      <c r="A39" s="11" t="inlineStr">
        <is>
          <t>Hombre</t>
        </is>
      </c>
      <c r="B39" s="16">
        <f>B33/$E$35</f>
        <v/>
      </c>
      <c r="C39" s="16">
        <f>C33/$E$35</f>
        <v/>
      </c>
      <c r="D39" s="16">
        <f>D33/$E$35</f>
        <v/>
      </c>
      <c r="E39" s="16">
        <f>E33/$E$35</f>
        <v/>
      </c>
    </row>
    <row r="40">
      <c r="A40" s="11" t="inlineStr">
        <is>
          <t>Mujer</t>
        </is>
      </c>
      <c r="B40" s="16">
        <f>B34/$E$35</f>
        <v/>
      </c>
      <c r="C40" s="16">
        <f>C34/$E$35</f>
        <v/>
      </c>
      <c r="D40" s="16">
        <f>D34/$E$35</f>
        <v/>
      </c>
      <c r="E40" s="16">
        <f>E34/$E$35</f>
        <v/>
      </c>
    </row>
    <row r="41">
      <c r="A41" s="2" t="inlineStr">
        <is>
          <t>f.ⱼ</t>
        </is>
      </c>
      <c r="B41">
        <f>SUM(B39:B40)</f>
        <v/>
      </c>
      <c r="C41">
        <f>SUM(C39:C40)</f>
        <v/>
      </c>
      <c r="D41">
        <f>SUM(D39:D40)</f>
        <v/>
      </c>
      <c r="E41">
        <f>SUM(E39:E40)</f>
        <v/>
      </c>
    </row>
    <row r="42"/>
    <row r="43">
      <c r="A43" s="21" t="inlineStr">
        <is>
          <t>Si fueran independientes: fᵢ. × f.ⱼ  (compara casilla a casilla con la tabla de arriba)</t>
        </is>
      </c>
    </row>
    <row r="44">
      <c r="A44" s="15" t="inlineStr"/>
      <c r="B44" s="15" t="inlineStr">
        <is>
          <t>Indefinido</t>
        </is>
      </c>
      <c r="C44" s="15" t="inlineStr">
        <is>
          <t>Temporal</t>
        </is>
      </c>
      <c r="D44" s="15" t="inlineStr">
        <is>
          <t>Parcial</t>
        </is>
      </c>
    </row>
    <row r="45">
      <c r="A45" s="11" t="inlineStr">
        <is>
          <t>Hombre</t>
        </is>
      </c>
      <c r="B45" s="16">
        <f>$E39*B$41</f>
        <v/>
      </c>
      <c r="C45" s="16">
        <f>$E39*C$41</f>
        <v/>
      </c>
      <c r="D45" s="16">
        <f>$E39*D$41</f>
        <v/>
      </c>
    </row>
    <row r="46">
      <c r="A46" s="11" t="inlineStr">
        <is>
          <t>Mujer</t>
        </is>
      </c>
      <c r="B46" s="16">
        <f>$E40*B$41</f>
        <v/>
      </c>
      <c r="C46" s="16">
        <f>$E40*C$41</f>
        <v/>
      </c>
      <c r="D46" s="16">
        <f>$E40*D$41</f>
        <v/>
      </c>
    </row>
    <row r="47"/>
    <row r="48">
      <c r="A48" s="21" t="inlineStr">
        <is>
          <t>Distribuciones condicionadas por filas (% de cada fila)</t>
        </is>
      </c>
    </row>
    <row r="49">
      <c r="A49" s="15" t="inlineStr"/>
      <c r="B49" s="15" t="inlineStr">
        <is>
          <t>Indefinido</t>
        </is>
      </c>
      <c r="C49" s="15" t="inlineStr">
        <is>
          <t>Temporal</t>
        </is>
      </c>
      <c r="D49" s="15" t="inlineStr">
        <is>
          <t>Parcial</t>
        </is>
      </c>
    </row>
    <row r="50">
      <c r="A50" s="11" t="inlineStr">
        <is>
          <t>Hombre</t>
        </is>
      </c>
      <c r="B50" s="22">
        <f>B33/$E33</f>
        <v/>
      </c>
      <c r="C50" s="22">
        <f>C33/$E33</f>
        <v/>
      </c>
      <c r="D50" s="22">
        <f>D33/$E33</f>
        <v/>
      </c>
    </row>
    <row r="51">
      <c r="A51" s="11" t="inlineStr">
        <is>
          <t>Mujer</t>
        </is>
      </c>
      <c r="B51" s="22">
        <f>B34/$E34</f>
        <v/>
      </c>
      <c r="C51" s="22">
        <f>C34/$E34</f>
        <v/>
      </c>
      <c r="D51" s="22">
        <f>D34/$E34</f>
        <v/>
      </c>
    </row>
    <row r="52"/>
    <row r="53">
      <c r="A53" s="21" t="inlineStr">
        <is>
          <t>Conclusión: las dos tablas coinciden en todas las casillas y los % por filas son iguales → independientes.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3 · Antigüedad (X) y salario (Y)</t>
        </is>
      </c>
    </row>
    <row r="2"/>
    <row r="3">
      <c r="A3" s="15" t="inlineStr">
        <is>
          <t>X antigüedad</t>
        </is>
      </c>
      <c r="B3" s="15" t="inlineStr">
        <is>
          <t>Y salario</t>
        </is>
      </c>
      <c r="C3" s="15" t="inlineStr">
        <is>
          <t>X·Y</t>
        </is>
      </c>
      <c r="D3" s="15" t="inlineStr">
        <is>
          <t>X²</t>
        </is>
      </c>
      <c r="E3" s="15" t="inlineStr">
        <is>
          <t>Y²</t>
        </is>
      </c>
    </row>
    <row r="4">
      <c r="A4" s="10" t="n">
        <v>1</v>
      </c>
      <c r="B4" s="10" t="n">
        <v>1400</v>
      </c>
      <c r="C4" s="16">
        <f>A4*B4</f>
        <v/>
      </c>
      <c r="D4" s="16">
        <f>A4^2</f>
        <v/>
      </c>
      <c r="E4" s="16">
        <f>B4^2</f>
        <v/>
      </c>
    </row>
    <row r="5">
      <c r="A5" s="10" t="n">
        <v>2</v>
      </c>
      <c r="B5" s="10" t="n">
        <v>1600</v>
      </c>
      <c r="C5" s="16">
        <f>A5*B5</f>
        <v/>
      </c>
      <c r="D5" s="16">
        <f>A5^2</f>
        <v/>
      </c>
      <c r="E5" s="16">
        <f>B5^2</f>
        <v/>
      </c>
    </row>
    <row r="6">
      <c r="A6" s="10" t="n">
        <v>3</v>
      </c>
      <c r="B6" s="10" t="n">
        <v>1700</v>
      </c>
      <c r="C6" s="16">
        <f>A6*B6</f>
        <v/>
      </c>
      <c r="D6" s="16">
        <f>A6^2</f>
        <v/>
      </c>
      <c r="E6" s="16">
        <f>B6^2</f>
        <v/>
      </c>
    </row>
    <row r="7">
      <c r="A7" s="10" t="n">
        <v>5</v>
      </c>
      <c r="B7" s="10" t="n">
        <v>1700</v>
      </c>
      <c r="C7" s="16">
        <f>A7*B7</f>
        <v/>
      </c>
      <c r="D7" s="16">
        <f>A7^2</f>
        <v/>
      </c>
      <c r="E7" s="16">
        <f>B7^2</f>
        <v/>
      </c>
    </row>
    <row r="8">
      <c r="A8" s="10" t="n">
        <v>6</v>
      </c>
      <c r="B8" s="10" t="n">
        <v>1800</v>
      </c>
      <c r="C8" s="16">
        <f>A8*B8</f>
        <v/>
      </c>
      <c r="D8" s="16">
        <f>A8^2</f>
        <v/>
      </c>
      <c r="E8" s="16">
        <f>B8^2</f>
        <v/>
      </c>
    </row>
    <row r="9">
      <c r="A9" s="10" t="n">
        <v>7</v>
      </c>
      <c r="B9" s="10" t="n">
        <v>1850</v>
      </c>
      <c r="C9" s="16">
        <f>A9*B9</f>
        <v/>
      </c>
      <c r="D9" s="16">
        <f>A9^2</f>
        <v/>
      </c>
      <c r="E9" s="16">
        <f>B9^2</f>
        <v/>
      </c>
    </row>
    <row r="10">
      <c r="A10" s="10" t="n">
        <v>9</v>
      </c>
      <c r="B10" s="10" t="n">
        <v>2200</v>
      </c>
      <c r="C10" s="16">
        <f>A10*B10</f>
        <v/>
      </c>
      <c r="D10" s="16">
        <f>A10^2</f>
        <v/>
      </c>
      <c r="E10" s="16">
        <f>B10^2</f>
        <v/>
      </c>
    </row>
    <row r="11">
      <c r="A11" s="10" t="n">
        <v>10</v>
      </c>
      <c r="B11" s="10" t="n">
        <v>2400</v>
      </c>
      <c r="C11" s="16">
        <f>A11*B11</f>
        <v/>
      </c>
      <c r="D11" s="16">
        <f>A11^2</f>
        <v/>
      </c>
      <c r="E11" s="16">
        <f>B11^2</f>
        <v/>
      </c>
    </row>
    <row r="12">
      <c r="A12" s="10" t="n">
        <v>12</v>
      </c>
      <c r="B12" s="10" t="n">
        <v>2250</v>
      </c>
      <c r="C12" s="16">
        <f>A12*B12</f>
        <v/>
      </c>
      <c r="D12" s="16">
        <f>A12^2</f>
        <v/>
      </c>
      <c r="E12" s="16">
        <f>B12^2</f>
        <v/>
      </c>
    </row>
    <row r="13">
      <c r="A13" s="10" t="n">
        <v>15</v>
      </c>
      <c r="B13" s="10" t="n">
        <v>2500</v>
      </c>
      <c r="C13" s="16">
        <f>A13*B13</f>
        <v/>
      </c>
      <c r="D13" s="16">
        <f>A13^2</f>
        <v/>
      </c>
      <c r="E13" s="16">
        <f>B13^2</f>
        <v/>
      </c>
    </row>
    <row r="14"/>
    <row r="15">
      <c r="A15" s="14" t="inlineStr">
        <is>
          <t>Con funciones de Excel</t>
        </is>
      </c>
    </row>
    <row r="16">
      <c r="A16" s="2" t="inlineStr">
        <is>
          <t>Covarianza</t>
        </is>
      </c>
      <c r="B16" s="7">
        <f>_xlfn.COVARIANCE.P(A4:A13,B4:B13)</f>
        <v/>
      </c>
      <c r="C16" s="8" t="inlineStr">
        <is>
          <t>→ =COVARIANZA.P(A4:A13;B4:B13)</t>
        </is>
      </c>
    </row>
    <row r="17">
      <c r="A17" s="2" t="inlineStr">
        <is>
          <t>Pendiente b</t>
        </is>
      </c>
      <c r="B17" s="7">
        <f>SLOPE(B4:B13,A4:A13)</f>
        <v/>
      </c>
      <c r="C17" s="8" t="inlineStr">
        <is>
          <t>→ =PENDIENTE(B4:B13;A4:A13)</t>
        </is>
      </c>
      <c r="F17" s="5" t="inlineStr">
        <is>
          <t>Por cada año más, +78,53 € de media</t>
        </is>
      </c>
    </row>
    <row r="18">
      <c r="A18" s="2" t="inlineStr">
        <is>
          <t>Término independiente a</t>
        </is>
      </c>
      <c r="B18" s="7">
        <f>INTERCEPT(B4:B13,A4:A13)</f>
        <v/>
      </c>
      <c r="C18" s="8" t="inlineStr">
        <is>
          <t>→ =INTERSECCION.EJE(B4:B13;A4:A13)</t>
        </is>
      </c>
    </row>
    <row r="19">
      <c r="A19" s="2" t="inlineStr">
        <is>
          <t>Correlación r</t>
        </is>
      </c>
      <c r="B19" s="7">
        <f>CORREL(A4:A13,B4:B13)</f>
        <v/>
      </c>
      <c r="C19" s="8" t="inlineStr">
        <is>
          <t>→ =COEF.DE.CORREL(A4:A13;B4:B13)</t>
        </is>
      </c>
    </row>
    <row r="20">
      <c r="A20" s="2" t="inlineStr">
        <is>
          <t>R²</t>
        </is>
      </c>
      <c r="B20" s="7">
        <f>RSQ(B4:B13,A4:A13)</f>
        <v/>
      </c>
      <c r="C20" s="8" t="inlineStr">
        <is>
          <t>→ =COEFICIENTE.R2(B4:B13;A4:A13)</t>
        </is>
      </c>
      <c r="F20" s="5" t="inlineStr">
        <is>
          <t>El 91,6 % del salario se explica por la antigüedad</t>
        </is>
      </c>
    </row>
    <row r="21">
      <c r="A21" s="2" t="inlineStr">
        <is>
          <t>Predicción X = 11</t>
        </is>
      </c>
      <c r="B21" s="18">
        <f>_xlfn.FORECAST.LINEAR(11,B4:B13,A4:A13)</f>
        <v/>
      </c>
      <c r="C21" s="8" t="inlineStr">
        <is>
          <t>→ =PRONOSTICO.LINEAL(11;B4:B13;A4:A13)</t>
        </is>
      </c>
    </row>
    <row r="22">
      <c r="A22" s="2" t="inlineStr">
        <is>
          <t>Predicción X = 8</t>
        </is>
      </c>
      <c r="B22" s="18">
        <f>_xlfn.FORECAST.LINEAR(8,B4:B13,A4:A13)</f>
        <v/>
      </c>
      <c r="C22" s="8" t="inlineStr">
        <is>
          <t>→ =PRONOSTICO.LINEAL(8;B4:B13;A4:A13)</t>
        </is>
      </c>
    </row>
    <row r="23"/>
    <row r="24">
      <c r="A24" s="14" t="inlineStr">
        <is>
          <t>Con las fórmulas de clase</t>
        </is>
      </c>
    </row>
    <row r="25">
      <c r="A25" s="2" t="inlineStr">
        <is>
          <t>Media X</t>
        </is>
      </c>
      <c r="B25" s="7">
        <f>AVERAGE(A4:A13)</f>
        <v/>
      </c>
      <c r="C25" s="8" t="inlineStr">
        <is>
          <t>→ =PROMEDIO(A4:A13)</t>
        </is>
      </c>
    </row>
    <row r="26">
      <c r="A26" s="2" t="inlineStr">
        <is>
          <t>Media Y</t>
        </is>
      </c>
      <c r="B26" s="7">
        <f>AVERAGE(B4:B13)</f>
        <v/>
      </c>
      <c r="C26" s="8" t="inlineStr">
        <is>
          <t>→ =PROMEDIO(B4:B13)</t>
        </is>
      </c>
    </row>
    <row r="27">
      <c r="A27" s="2" t="inlineStr">
        <is>
          <t>Varianza X</t>
        </is>
      </c>
      <c r="B27" s="7">
        <f>_xlfn.VAR.P(A4:A13)</f>
        <v/>
      </c>
      <c r="C27" s="8" t="inlineStr">
        <is>
          <t>→ =VAR.P(A4:A13)</t>
        </is>
      </c>
    </row>
    <row r="28">
      <c r="A28" s="2" t="inlineStr">
        <is>
          <t>Varianza Y</t>
        </is>
      </c>
      <c r="B28" s="7">
        <f>_xlfn.VAR.P(B4:B13)</f>
        <v/>
      </c>
      <c r="C28" s="8" t="inlineStr">
        <is>
          <t>→ =VAR.P(B4:B13)</t>
        </is>
      </c>
    </row>
    <row r="29">
      <c r="A29" s="2" t="inlineStr">
        <is>
          <t>Covarianza = Σxy/n − x̄·ȳ</t>
        </is>
      </c>
      <c r="B29" s="7">
        <f>SUM(C4:C13)/COUNT(A4:A13)-B25*B26</f>
        <v/>
      </c>
      <c r="C29" s="8" t="inlineStr">
        <is>
          <t>→ =SUMA(C4:C13)/CONTAR(A4:A13)-B25*B26</t>
        </is>
      </c>
    </row>
    <row r="30">
      <c r="A30" s="2" t="inlineStr">
        <is>
          <t>b = Sxy / Sx²</t>
        </is>
      </c>
      <c r="B30" s="7">
        <f>B29/B27</f>
        <v/>
      </c>
      <c r="C30" s="8" t="inlineStr">
        <is>
          <t>→ =B29/B27</t>
        </is>
      </c>
    </row>
    <row r="31">
      <c r="A31" s="2" t="inlineStr">
        <is>
          <t>a = ȳ − b·x̄</t>
        </is>
      </c>
      <c r="B31" s="7">
        <f>B26-B30*B25</f>
        <v/>
      </c>
      <c r="C31" s="8" t="inlineStr">
        <is>
          <t>→ =B26-B30*B25</t>
        </is>
      </c>
    </row>
    <row r="32">
      <c r="A32" s="2" t="inlineStr">
        <is>
          <t>r = Sxy/(Sx·Sy)</t>
        </is>
      </c>
      <c r="B32" s="7">
        <f>B29/SQRT(B27*B28)</f>
        <v/>
      </c>
      <c r="C32" s="8" t="inlineStr">
        <is>
          <t>→ =B29/RAIZ(B27*B28)</t>
        </is>
      </c>
    </row>
    <row r="33">
      <c r="A33" s="21" t="inlineStr">
        <is>
          <t>Para el gráfico: selecciona A y B → Insertar → Dispersión → clic derecho en un punto → Agregar línea de tendencia → marcar ecuación y R².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</t>
        </is>
      </c>
    </row>
    <row r="2">
      <c r="A2" s="5" t="inlineStr">
        <is>
          <t>Tres conjuntos con la misma media y distinta dispersión</t>
        </is>
      </c>
    </row>
    <row r="3"/>
    <row r="4">
      <c r="A4" s="15" t="inlineStr">
        <is>
          <t>Conjunto 1</t>
        </is>
      </c>
      <c r="B4" s="15" t="inlineStr">
        <is>
          <t>Conjunto 2</t>
        </is>
      </c>
      <c r="C4" s="15" t="inlineStr">
        <is>
          <t>Conjunto 3</t>
        </is>
      </c>
      <c r="D4" s="15" t="inlineStr">
        <is>
          <t>z (conjunto 1)</t>
        </is>
      </c>
    </row>
    <row r="5">
      <c r="A5" s="10" t="n">
        <v>1</v>
      </c>
      <c r="B5" s="10" t="n">
        <v>1</v>
      </c>
      <c r="C5" s="10" t="n">
        <v>-13</v>
      </c>
      <c r="D5" s="16">
        <f>STANDARDIZE(A5,AVERAGE($A$5:$A$10),_xlfn.STDEV.P($A$5:$A$10))</f>
        <v/>
      </c>
    </row>
    <row r="6">
      <c r="A6" s="10" t="n">
        <v>2</v>
      </c>
      <c r="B6" s="10" t="n">
        <v>1</v>
      </c>
      <c r="C6" s="10" t="n">
        <v>2</v>
      </c>
      <c r="D6" s="16">
        <f>STANDARDIZE(A6,AVERAGE($A$5:$A$10),_xlfn.STDEV.P($A$5:$A$10))</f>
        <v/>
      </c>
    </row>
    <row r="7">
      <c r="A7" s="10" t="n">
        <v>3</v>
      </c>
      <c r="B7" s="10" t="n">
        <v>1</v>
      </c>
      <c r="C7" s="10" t="n">
        <v>3</v>
      </c>
      <c r="D7" s="16">
        <f>STANDARDIZE(A7,AVERAGE($A$5:$A$10),_xlfn.STDEV.P($A$5:$A$10))</f>
        <v/>
      </c>
    </row>
    <row r="8">
      <c r="A8" s="10" t="n">
        <v>4</v>
      </c>
      <c r="B8" s="10" t="n">
        <v>6</v>
      </c>
      <c r="C8" s="10" t="n">
        <v>4</v>
      </c>
      <c r="D8" s="16">
        <f>STANDARDIZE(A8,AVERAGE($A$5:$A$10),_xlfn.STDEV.P($A$5:$A$10))</f>
        <v/>
      </c>
    </row>
    <row r="9">
      <c r="A9" s="10" t="n">
        <v>5</v>
      </c>
      <c r="B9" s="10" t="n">
        <v>6</v>
      </c>
      <c r="C9" s="10" t="n">
        <v>5</v>
      </c>
      <c r="D9" s="16">
        <f>STANDARDIZE(A9,AVERAGE($A$5:$A$10),_xlfn.STDEV.P($A$5:$A$10))</f>
        <v/>
      </c>
    </row>
    <row r="10">
      <c r="A10" s="10" t="n">
        <v>6</v>
      </c>
      <c r="B10" s="10" t="n">
        <v>6</v>
      </c>
      <c r="C10" s="10" t="n">
        <v>20</v>
      </c>
      <c r="D10" s="16">
        <f>STANDARDIZE(A10,AVERAGE($A$5:$A$10),_xlfn.STDEV.P($A$5:$A$10))</f>
        <v/>
      </c>
    </row>
    <row r="11"/>
    <row r="12">
      <c r="A12" s="2" t="inlineStr">
        <is>
          <t>Media conjunto 1</t>
        </is>
      </c>
      <c r="B12" s="7">
        <f>AVERAGE(A5:A10)</f>
        <v/>
      </c>
      <c r="C12" s="8" t="inlineStr">
        <is>
          <t>→ =PROMEDIO(A5:A10)</t>
        </is>
      </c>
    </row>
    <row r="13">
      <c r="A13" s="2" t="inlineStr">
        <is>
          <t>Varianza conjunto 1</t>
        </is>
      </c>
      <c r="B13" s="7">
        <f>_xlfn.VAR.P(A5:A10)</f>
        <v/>
      </c>
      <c r="C13" s="8" t="inlineStr">
        <is>
          <t>→ =VAR.P(A5:A10)</t>
        </is>
      </c>
    </row>
    <row r="14">
      <c r="A14" s="2" t="inlineStr">
        <is>
          <t>Media conjunto 2</t>
        </is>
      </c>
      <c r="B14" s="7">
        <f>AVERAGE(B5:B10)</f>
        <v/>
      </c>
      <c r="C14" s="8" t="inlineStr">
        <is>
          <t>→ =PROMEDIO(B5:B10)</t>
        </is>
      </c>
    </row>
    <row r="15">
      <c r="A15" s="2" t="inlineStr">
        <is>
          <t>Varianza conjunto 2</t>
        </is>
      </c>
      <c r="B15" s="7">
        <f>_xlfn.VAR.P(B5:B10)</f>
        <v/>
      </c>
      <c r="C15" s="8" t="inlineStr">
        <is>
          <t>→ =VAR.P(B5:B10)</t>
        </is>
      </c>
    </row>
    <row r="16">
      <c r="A16" s="2" t="inlineStr">
        <is>
          <t>Media conjunto 3</t>
        </is>
      </c>
      <c r="B16" s="7">
        <f>AVERAGE(C5:C10)</f>
        <v/>
      </c>
      <c r="C16" s="8" t="inlineStr">
        <is>
          <t>→ =PROMEDIO(C5:C10)</t>
        </is>
      </c>
    </row>
    <row r="17">
      <c r="A17" s="2" t="inlineStr">
        <is>
          <t>Varianza conjunto 3</t>
        </is>
      </c>
      <c r="B17" s="7">
        <f>_xlfn.VAR.P(C5:C10)</f>
        <v/>
      </c>
      <c r="C17" s="8" t="inlineStr">
        <is>
          <t>→ =VAR.P(C5:C10)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3</t>
        </is>
      </c>
    </row>
    <row r="2">
      <c r="A2" s="5" t="inlineStr">
        <is>
          <t>Número de hijos en 20 familias</t>
        </is>
      </c>
    </row>
    <row r="3"/>
    <row r="4">
      <c r="A4" t="inlineStr">
        <is>
          <t>Datos</t>
        </is>
      </c>
      <c r="B4" s="9" t="n">
        <v>0</v>
      </c>
      <c r="C4" s="9" t="n">
        <v>2</v>
      </c>
      <c r="D4" s="9" t="n">
        <v>2</v>
      </c>
      <c r="E4" s="9" t="n">
        <v>2</v>
      </c>
      <c r="F4" s="9" t="n">
        <v>4</v>
      </c>
      <c r="G4" s="9" t="n">
        <v>3</v>
      </c>
      <c r="H4" s="9" t="n">
        <v>3</v>
      </c>
      <c r="I4" s="9" t="n">
        <v>0</v>
      </c>
      <c r="J4" s="9" t="n">
        <v>0</v>
      </c>
      <c r="K4" s="9" t="n">
        <v>0</v>
      </c>
      <c r="L4" s="9" t="n">
        <v>1</v>
      </c>
      <c r="M4" s="9" t="n">
        <v>1</v>
      </c>
      <c r="N4" s="9" t="n">
        <v>1</v>
      </c>
      <c r="O4" s="9" t="n">
        <v>2</v>
      </c>
      <c r="P4" s="9" t="n">
        <v>3</v>
      </c>
      <c r="Q4" s="9" t="n">
        <v>4</v>
      </c>
      <c r="R4" s="9" t="n">
        <v>1</v>
      </c>
      <c r="S4" s="9" t="n">
        <v>1</v>
      </c>
      <c r="T4" s="9" t="n">
        <v>1</v>
      </c>
      <c r="U4" s="9" t="n">
        <v>1</v>
      </c>
    </row>
    <row r="5"/>
    <row r="6">
      <c r="A6" s="15" t="inlineStr">
        <is>
          <t>xᵢ</t>
        </is>
      </c>
      <c r="B6" s="15" t="inlineStr">
        <is>
          <t>nᵢ</t>
        </is>
      </c>
      <c r="C6" s="15" t="inlineStr">
        <is>
          <t>fᵢ</t>
        </is>
      </c>
      <c r="D6" s="15" t="inlineStr">
        <is>
          <t>%</t>
        </is>
      </c>
      <c r="E6" s="15" t="inlineStr">
        <is>
          <t>Nᵢ</t>
        </is>
      </c>
    </row>
    <row r="7">
      <c r="A7" s="10" t="n">
        <v>0</v>
      </c>
      <c r="B7" s="16">
        <f>COUNTIF($B$4:$U$4,A7)</f>
        <v/>
      </c>
      <c r="C7" s="16">
        <f>B7/20</f>
        <v/>
      </c>
      <c r="D7" s="16">
        <f>C7*100</f>
        <v/>
      </c>
      <c r="E7" s="16">
        <f>B7</f>
        <v/>
      </c>
    </row>
    <row r="8">
      <c r="A8" s="10" t="n">
        <v>1</v>
      </c>
      <c r="B8" s="16">
        <f>COUNTIF($B$4:$U$4,A8)</f>
        <v/>
      </c>
      <c r="C8" s="16">
        <f>B8/20</f>
        <v/>
      </c>
      <c r="D8" s="16">
        <f>C8*100</f>
        <v/>
      </c>
      <c r="E8" s="16">
        <f>E7+B8</f>
        <v/>
      </c>
    </row>
    <row r="9">
      <c r="A9" s="10" t="n">
        <v>2</v>
      </c>
      <c r="B9" s="16">
        <f>COUNTIF($B$4:$U$4,A9)</f>
        <v/>
      </c>
      <c r="C9" s="16">
        <f>B9/20</f>
        <v/>
      </c>
      <c r="D9" s="16">
        <f>C9*100</f>
        <v/>
      </c>
      <c r="E9" s="16">
        <f>E8+B9</f>
        <v/>
      </c>
    </row>
    <row r="10">
      <c r="A10" s="10" t="n">
        <v>3</v>
      </c>
      <c r="B10" s="16">
        <f>COUNTIF($B$4:$U$4,A10)</f>
        <v/>
      </c>
      <c r="C10" s="16">
        <f>B10/20</f>
        <v/>
      </c>
      <c r="D10" s="16">
        <f>C10*100</f>
        <v/>
      </c>
      <c r="E10" s="16">
        <f>E9+B10</f>
        <v/>
      </c>
    </row>
    <row r="11">
      <c r="A11" s="10" t="n">
        <v>4</v>
      </c>
      <c r="B11" s="16">
        <f>COUNTIF($B$4:$U$4,A11)</f>
        <v/>
      </c>
      <c r="C11" s="16">
        <f>B11/20</f>
        <v/>
      </c>
      <c r="D11" s="16">
        <f>C11*100</f>
        <v/>
      </c>
      <c r="E11" s="16">
        <f>E10+B11</f>
        <v/>
      </c>
    </row>
    <row r="12"/>
    <row r="13">
      <c r="A13" s="2" t="inlineStr">
        <is>
          <t>n</t>
        </is>
      </c>
      <c r="B13" s="23">
        <f>COUNT($B$4:$U$4)</f>
        <v/>
      </c>
      <c r="C13" s="8" t="inlineStr">
        <is>
          <t>→ =CONTAR($B$4:$U$4)</t>
        </is>
      </c>
    </row>
    <row r="14">
      <c r="A14" s="2" t="inlineStr">
        <is>
          <t>Media</t>
        </is>
      </c>
      <c r="B14" s="7">
        <f>AVERAGE($B$4:$U$4)</f>
        <v/>
      </c>
      <c r="C14" s="8" t="inlineStr">
        <is>
          <t>→ =PROMEDIO($B$4:$U$4)</t>
        </is>
      </c>
    </row>
    <row r="15">
      <c r="A15" s="2" t="inlineStr">
        <is>
          <t>Mediana</t>
        </is>
      </c>
      <c r="B15" s="7">
        <f>MEDIAN($B$4:$U$4)</f>
        <v/>
      </c>
      <c r="C15" s="8" t="inlineStr">
        <is>
          <t>→ =MEDIANA($B$4:$U$4)</t>
        </is>
      </c>
    </row>
    <row r="16">
      <c r="A16" s="2" t="inlineStr">
        <is>
          <t>Moda</t>
        </is>
      </c>
      <c r="B16" s="7">
        <f>_xlfn.MODE.SNGL($B$4:$U$4)</f>
        <v/>
      </c>
      <c r="C16" s="8" t="inlineStr">
        <is>
          <t>→ =MODA.UNO($B$4:$U$4)</t>
        </is>
      </c>
    </row>
    <row r="17">
      <c r="A17" s="2" t="inlineStr">
        <is>
          <t>C₁ (Excel)</t>
        </is>
      </c>
      <c r="B17" s="7">
        <f>_xlfn.QUARTILE.INC($B$4:$U$4,1)</f>
        <v/>
      </c>
      <c r="C17" s="8" t="inlineStr">
        <is>
          <t>→ =CUARTIL.INC($B$4:$U$4;1)</t>
        </is>
      </c>
    </row>
    <row r="18">
      <c r="A18" s="2" t="inlineStr">
        <is>
          <t>C₃ (Excel)</t>
        </is>
      </c>
      <c r="B18" s="7">
        <f>_xlfn.QUARTILE.INC($B$4:$U$4,3)</f>
        <v/>
      </c>
      <c r="C18" s="8" t="inlineStr">
        <is>
          <t>→ =CUARTIL.INC($B$4:$U$4;3)</t>
        </is>
      </c>
      <c r="F18" s="5" t="inlineStr">
        <is>
          <t>Con la receta de clase: 2,5</t>
        </is>
      </c>
    </row>
    <row r="19">
      <c r="A19" s="2" t="inlineStr">
        <is>
          <t>Mínimo</t>
        </is>
      </c>
      <c r="B19" s="7">
        <f>MIN($B$4:$U$4)</f>
        <v/>
      </c>
      <c r="C19" s="8" t="inlineStr">
        <is>
          <t>→ =MIN($B$4:$U$4)</t>
        </is>
      </c>
    </row>
    <row r="20">
      <c r="A20" s="2" t="inlineStr">
        <is>
          <t>Máximo</t>
        </is>
      </c>
      <c r="B20" s="7">
        <f>MAX($B$4:$U$4)</f>
        <v/>
      </c>
      <c r="C20" s="8" t="inlineStr">
        <is>
          <t>→ =MAX($B$4:$U$4)</t>
        </is>
      </c>
    </row>
    <row r="21">
      <c r="A21" s="2" t="inlineStr">
        <is>
          <t>Varianza S²</t>
        </is>
      </c>
      <c r="B21" s="7">
        <f>_xlfn.VAR.P($B$4:$U$4)</f>
        <v/>
      </c>
      <c r="C21" s="8" t="inlineStr">
        <is>
          <t>→ =VAR.P($B$4:$U$4)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4</t>
        </is>
      </c>
    </row>
    <row r="2">
      <c r="A2" s="5" t="inlineStr">
        <is>
          <t>Lesiones en fútbol (frecuencias absolutas) y baloncesto (relativas)</t>
        </is>
      </c>
    </row>
    <row r="3"/>
    <row r="4">
      <c r="A4" s="14" t="inlineStr">
        <is>
          <t>Fútbol (X)</t>
        </is>
      </c>
    </row>
    <row r="5">
      <c r="A5" s="15" t="inlineStr">
        <is>
          <t>xᵢ</t>
        </is>
      </c>
      <c r="B5" s="15" t="inlineStr">
        <is>
          <t>nᵢ</t>
        </is>
      </c>
      <c r="C5" s="15" t="inlineStr">
        <is>
          <t>fᵢ</t>
        </is>
      </c>
      <c r="D5" s="15" t="inlineStr">
        <is>
          <t>Nᵢ (acum.)</t>
        </is>
      </c>
      <c r="E5" s="15" t="inlineStr">
        <is>
          <t>xᵢ·nᵢ</t>
        </is>
      </c>
      <c r="F5" s="15" t="inlineStr">
        <is>
          <t>xᵢ²·nᵢ</t>
        </is>
      </c>
    </row>
    <row r="6">
      <c r="A6" s="10" t="n">
        <v>1</v>
      </c>
      <c r="B6" s="10" t="n">
        <v>1</v>
      </c>
      <c r="C6" s="11">
        <f>B6/$B$13</f>
        <v/>
      </c>
      <c r="D6" s="16">
        <f>B6</f>
        <v/>
      </c>
      <c r="E6" s="16">
        <f>A6*B6</f>
        <v/>
      </c>
      <c r="F6" s="16">
        <f>A6^2*B6</f>
        <v/>
      </c>
    </row>
    <row r="7">
      <c r="A7" s="10" t="n">
        <v>2</v>
      </c>
      <c r="B7" s="10" t="n">
        <v>3</v>
      </c>
      <c r="C7" s="11">
        <f>B7/$B$13</f>
        <v/>
      </c>
      <c r="D7" s="16">
        <f>D6+B7</f>
        <v/>
      </c>
      <c r="E7" s="16">
        <f>A7*B7</f>
        <v/>
      </c>
      <c r="F7" s="16">
        <f>A7^2*B7</f>
        <v/>
      </c>
    </row>
    <row r="8">
      <c r="A8" s="10" t="n">
        <v>3</v>
      </c>
      <c r="B8" s="10" t="n">
        <v>5</v>
      </c>
      <c r="C8" s="11">
        <f>B8/$B$13</f>
        <v/>
      </c>
      <c r="D8" s="16">
        <f>D7+B8</f>
        <v/>
      </c>
      <c r="E8" s="16">
        <f>A8*B8</f>
        <v/>
      </c>
      <c r="F8" s="16">
        <f>A8^2*B8</f>
        <v/>
      </c>
    </row>
    <row r="9">
      <c r="A9" s="10" t="n">
        <v>4</v>
      </c>
      <c r="B9" s="10" t="n">
        <v>7</v>
      </c>
      <c r="C9" s="11">
        <f>B9/$B$13</f>
        <v/>
      </c>
      <c r="D9" s="16">
        <f>D8+B9</f>
        <v/>
      </c>
      <c r="E9" s="16">
        <f>A9*B9</f>
        <v/>
      </c>
      <c r="F9" s="16">
        <f>A9^2*B9</f>
        <v/>
      </c>
    </row>
    <row r="10">
      <c r="A10" s="10" t="n">
        <v>5</v>
      </c>
      <c r="B10" s="10" t="n">
        <v>5</v>
      </c>
      <c r="C10" s="11">
        <f>B10/$B$13</f>
        <v/>
      </c>
      <c r="D10" s="16">
        <f>D9+B10</f>
        <v/>
      </c>
      <c r="E10" s="16">
        <f>A10*B10</f>
        <v/>
      </c>
      <c r="F10" s="16">
        <f>A10^2*B10</f>
        <v/>
      </c>
    </row>
    <row r="11">
      <c r="A11" s="10" t="n">
        <v>6</v>
      </c>
      <c r="B11" s="10" t="n">
        <v>3</v>
      </c>
      <c r="C11" s="11">
        <f>B11/$B$13</f>
        <v/>
      </c>
      <c r="D11" s="16">
        <f>D10+B11</f>
        <v/>
      </c>
      <c r="E11" s="16">
        <f>A11*B11</f>
        <v/>
      </c>
      <c r="F11" s="16">
        <f>A11^2*B11</f>
        <v/>
      </c>
    </row>
    <row r="12">
      <c r="A12" s="10" t="n">
        <v>7</v>
      </c>
      <c r="B12" s="10" t="n">
        <v>1</v>
      </c>
      <c r="C12" s="11">
        <f>B12/$B$13</f>
        <v/>
      </c>
      <c r="D12" s="16">
        <f>D11+B12</f>
        <v/>
      </c>
      <c r="E12" s="16">
        <f>A12*B12</f>
        <v/>
      </c>
      <c r="F12" s="16">
        <f>A12^2*B12</f>
        <v/>
      </c>
    </row>
    <row r="13">
      <c r="A13" s="2" t="inlineStr">
        <is>
          <t>Total</t>
        </is>
      </c>
      <c r="B13">
        <f>SUM(B6:B12)</f>
        <v/>
      </c>
      <c r="C13">
        <f>SUM(C6:C12)</f>
        <v/>
      </c>
      <c r="E13">
        <f>SUM(E6:E12)</f>
        <v/>
      </c>
      <c r="F13">
        <f>SUM(F6:F12)</f>
        <v/>
      </c>
    </row>
    <row r="14"/>
    <row r="15">
      <c r="A15" s="2" t="inlineStr">
        <is>
          <t>Media</t>
        </is>
      </c>
      <c r="B15" s="7">
        <f>E13/B13</f>
        <v/>
      </c>
      <c r="C15" s="8" t="inlineStr">
        <is>
          <t>→ =E13/B13</t>
        </is>
      </c>
    </row>
    <row r="16">
      <c r="A16" s="2" t="inlineStr">
        <is>
          <t>Varianza S²</t>
        </is>
      </c>
      <c r="B16" s="7">
        <f>F13/B13-B15^2</f>
        <v/>
      </c>
      <c r="C16" s="8" t="inlineStr">
        <is>
          <t>→ =F13/B13-B15^2</t>
        </is>
      </c>
    </row>
    <row r="17">
      <c r="A17" s="2" t="inlineStr">
        <is>
          <t>Desviación típica S</t>
        </is>
      </c>
      <c r="B17" s="7">
        <f>SQRT(B16)</f>
        <v/>
      </c>
      <c r="C17" s="8" t="inlineStr">
        <is>
          <t>→ =RAIZ(B16)</t>
        </is>
      </c>
    </row>
    <row r="18">
      <c r="A18" s="2" t="inlineStr">
        <is>
          <t>CV</t>
        </is>
      </c>
      <c r="B18" s="7">
        <f>B17/B15</f>
        <v/>
      </c>
      <c r="C18" s="8" t="inlineStr">
        <is>
          <t>→ =B17/B15</t>
        </is>
      </c>
    </row>
    <row r="19">
      <c r="A19" s="21" t="inlineStr">
        <is>
          <t>Moda = 4 (nᵢ = 7). Mediana: n/2 = 12,5 → primera Nᵢ ≥ 12,5 es 16 → Me = 4.</t>
        </is>
      </c>
    </row>
    <row r="20"/>
    <row r="21">
      <c r="A21" s="14" t="inlineStr">
        <is>
          <t>Baloncesto (Y), con frecuencias relativas</t>
        </is>
      </c>
    </row>
    <row r="22">
      <c r="A22" s="15" t="inlineStr">
        <is>
          <t>xᵢ</t>
        </is>
      </c>
      <c r="B22" s="15" t="inlineStr">
        <is>
          <t>fᵢ</t>
        </is>
      </c>
      <c r="C22" s="15" t="inlineStr">
        <is>
          <t>fᵢ</t>
        </is>
      </c>
      <c r="D22" s="15" t="inlineStr">
        <is>
          <t>Nᵢ (acum.)</t>
        </is>
      </c>
      <c r="E22" s="15" t="inlineStr">
        <is>
          <t>xᵢ·nᵢ</t>
        </is>
      </c>
      <c r="F22" s="15" t="inlineStr">
        <is>
          <t>xᵢ²·nᵢ</t>
        </is>
      </c>
    </row>
    <row r="23">
      <c r="A23" s="10" t="n">
        <v>1</v>
      </c>
      <c r="B23" s="10" t="n">
        <v>0.24</v>
      </c>
      <c r="C23" s="11">
        <f>B23/$B$30</f>
        <v/>
      </c>
      <c r="D23" s="16">
        <f>B23</f>
        <v/>
      </c>
      <c r="E23" s="16">
        <f>A23*B23</f>
        <v/>
      </c>
      <c r="F23" s="16">
        <f>A23^2*B23</f>
        <v/>
      </c>
    </row>
    <row r="24">
      <c r="A24" s="10" t="n">
        <v>2</v>
      </c>
      <c r="B24" s="10" t="n">
        <v>0.16</v>
      </c>
      <c r="C24" s="11">
        <f>B24/$B$30</f>
        <v/>
      </c>
      <c r="D24" s="16">
        <f>D23+B24</f>
        <v/>
      </c>
      <c r="E24" s="16">
        <f>A24*B24</f>
        <v/>
      </c>
      <c r="F24" s="16">
        <f>A24^2*B24</f>
        <v/>
      </c>
    </row>
    <row r="25">
      <c r="A25" s="10" t="n">
        <v>3</v>
      </c>
      <c r="B25" s="10" t="n">
        <v>0.08</v>
      </c>
      <c r="C25" s="11">
        <f>B25/$B$30</f>
        <v/>
      </c>
      <c r="D25" s="16">
        <f>D24+B25</f>
        <v/>
      </c>
      <c r="E25" s="16">
        <f>A25*B25</f>
        <v/>
      </c>
      <c r="F25" s="16">
        <f>A25^2*B25</f>
        <v/>
      </c>
    </row>
    <row r="26">
      <c r="A26" s="10" t="n">
        <v>4</v>
      </c>
      <c r="B26" s="10" t="n">
        <v>0.04</v>
      </c>
      <c r="C26" s="11">
        <f>B26/$B$30</f>
        <v/>
      </c>
      <c r="D26" s="16">
        <f>D25+B26</f>
        <v/>
      </c>
      <c r="E26" s="16">
        <f>A26*B26</f>
        <v/>
      </c>
      <c r="F26" s="16">
        <f>A26^2*B26</f>
        <v/>
      </c>
    </row>
    <row r="27">
      <c r="A27" s="10" t="n">
        <v>5</v>
      </c>
      <c r="B27" s="10" t="n">
        <v>0.08</v>
      </c>
      <c r="C27" s="11">
        <f>B27/$B$30</f>
        <v/>
      </c>
      <c r="D27" s="16">
        <f>D26+B27</f>
        <v/>
      </c>
      <c r="E27" s="16">
        <f>A27*B27</f>
        <v/>
      </c>
      <c r="F27" s="16">
        <f>A27^2*B27</f>
        <v/>
      </c>
    </row>
    <row r="28">
      <c r="A28" s="10" t="n">
        <v>6</v>
      </c>
      <c r="B28" s="10" t="n">
        <v>0.16</v>
      </c>
      <c r="C28" s="11">
        <f>B28/$B$30</f>
        <v/>
      </c>
      <c r="D28" s="16">
        <f>D27+B28</f>
        <v/>
      </c>
      <c r="E28" s="16">
        <f>A28*B28</f>
        <v/>
      </c>
      <c r="F28" s="16">
        <f>A28^2*B28</f>
        <v/>
      </c>
    </row>
    <row r="29">
      <c r="A29" s="10" t="n">
        <v>7</v>
      </c>
      <c r="B29" s="10" t="n">
        <v>0.24</v>
      </c>
      <c r="C29" s="11">
        <f>B29/$B$30</f>
        <v/>
      </c>
      <c r="D29" s="16">
        <f>D28+B29</f>
        <v/>
      </c>
      <c r="E29" s="16">
        <f>A29*B29</f>
        <v/>
      </c>
      <c r="F29" s="16">
        <f>A29^2*B29</f>
        <v/>
      </c>
    </row>
    <row r="30">
      <c r="A30" s="2" t="inlineStr">
        <is>
          <t>Total</t>
        </is>
      </c>
      <c r="B30">
        <f>SUM(B23:B29)</f>
        <v/>
      </c>
      <c r="C30">
        <f>SUM(C23:C29)</f>
        <v/>
      </c>
      <c r="E30">
        <f>SUM(E23:E29)</f>
        <v/>
      </c>
      <c r="F30">
        <f>SUM(F23:F29)</f>
        <v/>
      </c>
    </row>
    <row r="31"/>
    <row r="32">
      <c r="A32" s="2" t="inlineStr">
        <is>
          <t>Media</t>
        </is>
      </c>
      <c r="B32" s="7">
        <f>E30/B30</f>
        <v/>
      </c>
      <c r="C32" s="8" t="inlineStr">
        <is>
          <t>→ =E30/B30</t>
        </is>
      </c>
    </row>
    <row r="33">
      <c r="A33" s="2" t="inlineStr">
        <is>
          <t>Varianza S²</t>
        </is>
      </c>
      <c r="B33" s="7">
        <f>F30/B30-B32^2</f>
        <v/>
      </c>
      <c r="C33" s="8" t="inlineStr">
        <is>
          <t>→ =F30/B30-B32^2</t>
        </is>
      </c>
    </row>
    <row r="34">
      <c r="A34" s="2" t="inlineStr">
        <is>
          <t>Desviación típica S</t>
        </is>
      </c>
      <c r="B34" s="7">
        <f>SQRT(B33)</f>
        <v/>
      </c>
      <c r="C34" s="8" t="inlineStr">
        <is>
          <t>→ =RAIZ(B33)</t>
        </is>
      </c>
    </row>
    <row r="35">
      <c r="A35" s="2" t="inlineStr">
        <is>
          <t>CV</t>
        </is>
      </c>
      <c r="B35" s="7">
        <f>B34/B32</f>
        <v/>
      </c>
      <c r="C35" s="8" t="inlineStr">
        <is>
          <t>→ =B34/B32</t>
        </is>
      </c>
    </row>
    <row r="36">
      <c r="A36" s="21" t="inlineStr">
        <is>
          <t>Con relativas el "total" es 1. Modas: 1 y 7. Mediana: primera F ≥ 0,5 es 0,52 → Me = 4. Más variable baloncesto (5,76 &gt; 2,08).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5</t>
        </is>
      </c>
    </row>
    <row r="2">
      <c r="A2" s="5" t="inlineStr">
        <is>
          <t>Histograma con amplitudes distintas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nᵢ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7</v>
      </c>
      <c r="B5" s="10" t="n">
        <v>8</v>
      </c>
      <c r="C5" s="10" t="n">
        <v>3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8</v>
      </c>
      <c r="B6" s="10" t="n">
        <v>9</v>
      </c>
      <c r="C6" s="10" t="n">
        <v>6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9</v>
      </c>
      <c r="B7" s="10" t="n">
        <v>10</v>
      </c>
      <c r="C7" s="10" t="n">
        <v>9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10</v>
      </c>
      <c r="B8" s="10" t="n">
        <v>12</v>
      </c>
      <c r="C8" s="10" t="n">
        <v>9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12</v>
      </c>
      <c r="B9" s="10" t="n">
        <v>15</v>
      </c>
      <c r="C9" s="10" t="n">
        <v>3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2" t="inlineStr">
        <is>
          <t>Total</t>
        </is>
      </c>
      <c r="C10" s="17">
        <f>SUM(C5:C9)</f>
        <v/>
      </c>
      <c r="G10" s="17">
        <f>SUM(G5:G9)</f>
        <v/>
      </c>
      <c r="H10" s="17">
        <f>SUM(H5:H9)</f>
        <v/>
      </c>
    </row>
    <row r="11"/>
    <row r="12">
      <c r="A12" s="21" t="inlineStr">
        <is>
          <t>La columna F (densidad) es la altura de cada barra del histograma.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6</t>
        </is>
      </c>
    </row>
    <row r="2">
      <c r="A2" s="5" t="inlineStr">
        <is>
          <t>Notas de 50 alumnos</t>
        </is>
      </c>
    </row>
    <row r="3"/>
    <row r="4">
      <c r="A4" s="15" t="inlineStr">
        <is>
          <t>xᵢ</t>
        </is>
      </c>
      <c r="B4" s="15" t="inlineStr">
        <is>
          <t>nᵢ</t>
        </is>
      </c>
      <c r="C4" s="15" t="inlineStr">
        <is>
          <t>fᵢ</t>
        </is>
      </c>
      <c r="D4" s="15" t="inlineStr">
        <is>
          <t>Nᵢ (acum.)</t>
        </is>
      </c>
      <c r="E4" s="15" t="inlineStr">
        <is>
          <t>xᵢ·nᵢ</t>
        </is>
      </c>
      <c r="F4" s="15" t="inlineStr">
        <is>
          <t>xᵢ²·nᵢ</t>
        </is>
      </c>
    </row>
    <row r="5">
      <c r="A5" s="10" t="n">
        <v>1</v>
      </c>
      <c r="B5" s="10" t="n">
        <v>4</v>
      </c>
      <c r="C5" s="11">
        <f>B5/$B$13</f>
        <v/>
      </c>
      <c r="D5" s="16">
        <f>B5</f>
        <v/>
      </c>
      <c r="E5" s="16">
        <f>A5*B5</f>
        <v/>
      </c>
      <c r="F5" s="16">
        <f>A5^2*B5</f>
        <v/>
      </c>
    </row>
    <row r="6">
      <c r="A6" s="10" t="n">
        <v>2</v>
      </c>
      <c r="B6" s="10" t="n">
        <v>4</v>
      </c>
      <c r="C6" s="11">
        <f>B6/$B$13</f>
        <v/>
      </c>
      <c r="D6" s="16">
        <f>D5+B6</f>
        <v/>
      </c>
      <c r="E6" s="16">
        <f>A6*B6</f>
        <v/>
      </c>
      <c r="F6" s="16">
        <f>A6^2*B6</f>
        <v/>
      </c>
    </row>
    <row r="7">
      <c r="A7" s="10" t="n">
        <v>3</v>
      </c>
      <c r="B7" s="10" t="n">
        <v>8</v>
      </c>
      <c r="C7" s="11">
        <f>B7/$B$13</f>
        <v/>
      </c>
      <c r="D7" s="16">
        <f>D6+B7</f>
        <v/>
      </c>
      <c r="E7" s="16">
        <f>A7*B7</f>
        <v/>
      </c>
      <c r="F7" s="16">
        <f>A7^2*B7</f>
        <v/>
      </c>
    </row>
    <row r="8">
      <c r="A8" s="10" t="n">
        <v>4</v>
      </c>
      <c r="B8" s="10" t="n">
        <v>7</v>
      </c>
      <c r="C8" s="11">
        <f>B8/$B$13</f>
        <v/>
      </c>
      <c r="D8" s="16">
        <f>D7+B8</f>
        <v/>
      </c>
      <c r="E8" s="16">
        <f>A8*B8</f>
        <v/>
      </c>
      <c r="F8" s="16">
        <f>A8^2*B8</f>
        <v/>
      </c>
    </row>
    <row r="9">
      <c r="A9" s="10" t="n">
        <v>5</v>
      </c>
      <c r="B9" s="10" t="n">
        <v>5</v>
      </c>
      <c r="C9" s="11">
        <f>B9/$B$13</f>
        <v/>
      </c>
      <c r="D9" s="16">
        <f>D8+B9</f>
        <v/>
      </c>
      <c r="E9" s="16">
        <f>A9*B9</f>
        <v/>
      </c>
      <c r="F9" s="16">
        <f>A9^2*B9</f>
        <v/>
      </c>
    </row>
    <row r="10">
      <c r="A10" s="10" t="n">
        <v>6</v>
      </c>
      <c r="B10" s="10" t="n">
        <v>10</v>
      </c>
      <c r="C10" s="11">
        <f>B10/$B$13</f>
        <v/>
      </c>
      <c r="D10" s="16">
        <f>D9+B10</f>
        <v/>
      </c>
      <c r="E10" s="16">
        <f>A10*B10</f>
        <v/>
      </c>
      <c r="F10" s="16">
        <f>A10^2*B10</f>
        <v/>
      </c>
    </row>
    <row r="11">
      <c r="A11" s="10" t="n">
        <v>7</v>
      </c>
      <c r="B11" s="10" t="n">
        <v>7</v>
      </c>
      <c r="C11" s="11">
        <f>B11/$B$13</f>
        <v/>
      </c>
      <c r="D11" s="16">
        <f>D10+B11</f>
        <v/>
      </c>
      <c r="E11" s="16">
        <f>A11*B11</f>
        <v/>
      </c>
      <c r="F11" s="16">
        <f>A11^2*B11</f>
        <v/>
      </c>
    </row>
    <row r="12">
      <c r="A12" s="10" t="n">
        <v>8</v>
      </c>
      <c r="B12" s="10" t="n">
        <v>5</v>
      </c>
      <c r="C12" s="11">
        <f>B12/$B$13</f>
        <v/>
      </c>
      <c r="D12" s="16">
        <f>D11+B12</f>
        <v/>
      </c>
      <c r="E12" s="16">
        <f>A12*B12</f>
        <v/>
      </c>
      <c r="F12" s="16">
        <f>A12^2*B12</f>
        <v/>
      </c>
    </row>
    <row r="13">
      <c r="A13" s="2" t="inlineStr">
        <is>
          <t>Total</t>
        </is>
      </c>
      <c r="B13">
        <f>SUM(B5:B12)</f>
        <v/>
      </c>
      <c r="C13">
        <f>SUM(C5:C12)</f>
        <v/>
      </c>
      <c r="E13">
        <f>SUM(E5:E12)</f>
        <v/>
      </c>
      <c r="F13">
        <f>SUM(F5:F12)</f>
        <v/>
      </c>
    </row>
    <row r="14"/>
    <row r="15">
      <c r="A15" s="2" t="inlineStr">
        <is>
          <t>Media</t>
        </is>
      </c>
      <c r="B15" s="7">
        <f>E13/B13</f>
        <v/>
      </c>
      <c r="C15" s="8" t="inlineStr">
        <is>
          <t>→ =E13/B13</t>
        </is>
      </c>
    </row>
    <row r="16">
      <c r="A16" s="2" t="inlineStr">
        <is>
          <t>Varianza S²</t>
        </is>
      </c>
      <c r="B16" s="7">
        <f>F13/B13-B15^2</f>
        <v/>
      </c>
      <c r="C16" s="8" t="inlineStr">
        <is>
          <t>→ =F13/B13-B15^2</t>
        </is>
      </c>
    </row>
    <row r="17">
      <c r="A17" s="2" t="inlineStr">
        <is>
          <t>Desviación típica S</t>
        </is>
      </c>
      <c r="B17" s="7">
        <f>SQRT(B16)</f>
        <v/>
      </c>
      <c r="C17" s="8" t="inlineStr">
        <is>
          <t>→ =RAIZ(B16)</t>
        </is>
      </c>
    </row>
    <row r="18">
      <c r="A18" s="2" t="inlineStr">
        <is>
          <t>CV</t>
        </is>
      </c>
      <c r="B18" s="7">
        <f>B17/B15</f>
        <v/>
      </c>
      <c r="C18" s="8" t="inlineStr">
        <is>
          <t>→ =B17/B15</t>
        </is>
      </c>
    </row>
    <row r="19"/>
    <row r="20">
      <c r="A20" s="2" t="inlineStr">
        <is>
          <t>Total alumnos</t>
        </is>
      </c>
      <c r="B20" s="23">
        <f>B13</f>
        <v/>
      </c>
      <c r="C20" s="8" t="inlineStr">
        <is>
          <t>→ =B13</t>
        </is>
      </c>
    </row>
    <row r="21">
      <c r="A21" s="2" t="inlineStr">
        <is>
          <t>Más de un 3</t>
        </is>
      </c>
      <c r="B21" s="23">
        <f>B13-D7</f>
        <v/>
      </c>
      <c r="C21" s="8" t="inlineStr">
        <is>
          <t>→ =B13-D7</t>
        </is>
      </c>
    </row>
    <row r="22">
      <c r="A22" s="2" t="inlineStr">
        <is>
          <t>% con un 6</t>
        </is>
      </c>
      <c r="B22" s="20">
        <f>C10</f>
        <v/>
      </c>
      <c r="C22" s="8" t="inlineStr">
        <is>
          <t>→ =C10</t>
        </is>
      </c>
    </row>
    <row r="23">
      <c r="A23" s="2" t="inlineStr">
        <is>
          <t>% con más de un 4</t>
        </is>
      </c>
      <c r="B23" s="20">
        <f>1-D8/B13</f>
        <v/>
      </c>
      <c r="C23" s="8" t="inlineStr">
        <is>
          <t>→ =1-D8/B13</t>
        </is>
      </c>
    </row>
    <row r="24">
      <c r="A24" s="2" t="inlineStr">
        <is>
          <t>Nota ≥ 2 y &lt; 5</t>
        </is>
      </c>
      <c r="B24" s="23">
        <f>SUM(B6:B8)</f>
        <v/>
      </c>
      <c r="C24" s="8" t="inlineStr">
        <is>
          <t>→ =SUMA(B6:B8)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7</t>
        </is>
      </c>
    </row>
    <row r="2">
      <c r="A2" s="5" t="inlineStr">
        <is>
          <t>Pólizas en 26 días (intervalos)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nᵢ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30</v>
      </c>
      <c r="B5" s="10" t="n">
        <v>40</v>
      </c>
      <c r="C5" s="10" t="n">
        <v>2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40</v>
      </c>
      <c r="B6" s="10" t="n">
        <v>50</v>
      </c>
      <c r="C6" s="10" t="n">
        <v>4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50</v>
      </c>
      <c r="B7" s="10" t="n">
        <v>60</v>
      </c>
      <c r="C7" s="10" t="n">
        <v>6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60</v>
      </c>
      <c r="B8" s="10" t="n">
        <v>70</v>
      </c>
      <c r="C8" s="10" t="n">
        <v>9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70</v>
      </c>
      <c r="B9" s="10" t="n">
        <v>80</v>
      </c>
      <c r="C9" s="10" t="n">
        <v>5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2" t="inlineStr">
        <is>
          <t>Total</t>
        </is>
      </c>
      <c r="C10" s="17">
        <f>SUM(C5:C9)</f>
        <v/>
      </c>
      <c r="G10" s="17">
        <f>SUM(G5:G9)</f>
        <v/>
      </c>
      <c r="H10" s="17">
        <f>SUM(H5:H9)</f>
        <v/>
      </c>
    </row>
    <row r="11"/>
    <row r="12">
      <c r="A12" s="2" t="inlineStr">
        <is>
          <t>Días con más de 50</t>
        </is>
      </c>
      <c r="B12" s="24">
        <f>SUM(C7:C9)</f>
        <v/>
      </c>
      <c r="C12" s="8" t="inlineStr">
        <is>
          <t>→ =SUMA(C7:C9)</t>
        </is>
      </c>
    </row>
    <row r="13">
      <c r="A13" s="2" t="inlineStr">
        <is>
          <t>Días con más de 62</t>
        </is>
      </c>
      <c r="B13" s="24">
        <f>C8*(70-62)/10+C9</f>
        <v/>
      </c>
      <c r="C13" s="8" t="inlineStr">
        <is>
          <t>→ =C8*(70-62)/10+C9</t>
        </is>
      </c>
    </row>
    <row r="14">
      <c r="A14" s="2" t="inlineStr">
        <is>
          <t>Días entre 52 y 67</t>
        </is>
      </c>
      <c r="B14" s="24">
        <f>C7*(60-52)/10+C8*(67-60)/10</f>
        <v/>
      </c>
      <c r="C14" s="8" t="inlineStr">
        <is>
          <t>→ =C7*(60-52)/10+C8*(67-60)/10</t>
        </is>
      </c>
    </row>
    <row r="15">
      <c r="A15" s="2" t="inlineStr">
        <is>
          <t>% entre 52 y 67</t>
        </is>
      </c>
      <c r="B15" s="20">
        <f>B14/C10</f>
        <v/>
      </c>
      <c r="C15" s="8" t="inlineStr">
        <is>
          <t>→ =B14/C10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8</t>
        </is>
      </c>
    </row>
    <row r="2">
      <c r="A2" s="5" t="inlineStr">
        <is>
          <t>Exportaciones (miles de €)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nᵢ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0</v>
      </c>
      <c r="B5" s="10" t="n">
        <v>10</v>
      </c>
      <c r="C5" s="10" t="n">
        <v>4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10</v>
      </c>
      <c r="B6" s="10" t="n">
        <v>20</v>
      </c>
      <c r="C6" s="10" t="n">
        <v>20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20</v>
      </c>
      <c r="B7" s="10" t="n">
        <v>40</v>
      </c>
      <c r="C7" s="10" t="n">
        <v>10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40</v>
      </c>
      <c r="B8" s="10" t="n">
        <v>50</v>
      </c>
      <c r="C8" s="10" t="n">
        <v>10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2" t="inlineStr">
        <is>
          <t>Total</t>
        </is>
      </c>
      <c r="C9" s="17">
        <f>SUM(C5:C8)</f>
        <v/>
      </c>
      <c r="G9" s="17">
        <f>SUM(G5:G8)</f>
        <v/>
      </c>
      <c r="H9" s="17">
        <f>SUM(H5:H8)</f>
        <v/>
      </c>
    </row>
    <row r="10"/>
    <row r="11">
      <c r="A11" s="2" t="inlineStr">
        <is>
          <t>Media</t>
        </is>
      </c>
      <c r="B11" s="7">
        <f>G9/C9</f>
        <v/>
      </c>
      <c r="C11" s="8" t="inlineStr">
        <is>
          <t>→ =G9/C9</t>
        </is>
      </c>
    </row>
    <row r="12">
      <c r="A12" s="2" t="inlineStr">
        <is>
          <t>Varianza S²</t>
        </is>
      </c>
      <c r="B12" s="7">
        <f>H9/C9-B11^2</f>
        <v/>
      </c>
      <c r="C12" s="8" t="inlineStr">
        <is>
          <t>→ =H9/C9-B11^2</t>
        </is>
      </c>
    </row>
    <row r="13">
      <c r="A13" s="2" t="inlineStr">
        <is>
          <t>Desviación típica S</t>
        </is>
      </c>
      <c r="B13" s="7">
        <f>SQRT(B12)</f>
        <v/>
      </c>
      <c r="C13" s="8" t="inlineStr">
        <is>
          <t>→ =RAIZ(B12)</t>
        </is>
      </c>
    </row>
    <row r="14">
      <c r="A14" s="2" t="inlineStr">
        <is>
          <t>Coef. de variación CV</t>
        </is>
      </c>
      <c r="B14" s="7">
        <f>B13/B11</f>
        <v/>
      </c>
      <c r="C14" s="8" t="inlineStr">
        <is>
          <t>→ =B13/B11</t>
        </is>
      </c>
    </row>
    <row r="15">
      <c r="A15" s="2" t="inlineStr">
        <is>
          <t>España +1 %: media</t>
        </is>
      </c>
      <c r="B15" s="7">
        <f>1.01*B11</f>
        <v/>
      </c>
      <c r="C15" s="8" t="inlineStr">
        <is>
          <t>→ =1,01*B11</t>
        </is>
      </c>
    </row>
    <row r="16">
      <c r="A16" s="2" t="inlineStr">
        <is>
          <t>España +1 %: varianza</t>
        </is>
      </c>
      <c r="B16" s="7">
        <f>1.01^2*B12</f>
        <v/>
      </c>
      <c r="C16" s="8" t="inlineStr">
        <is>
          <t>→ =1,01^2*B12</t>
        </is>
      </c>
    </row>
    <row r="17">
      <c r="A17" s="21" t="inlineStr">
        <is>
          <t>Francia +10⁶ € = +1000 (miles): media +1000, varianza igual. CV Francia 0,64 &gt; España → más dispersión en Francia.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9</t>
        </is>
      </c>
    </row>
    <row r="2">
      <c r="A2" s="5" t="inlineStr">
        <is>
          <t>Óxido de azufre: frecuencias en %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fᵢ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5</v>
      </c>
      <c r="B5" s="10" t="n">
        <v>9</v>
      </c>
      <c r="C5" s="10" t="n">
        <v>0.0375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9</v>
      </c>
      <c r="B6" s="10" t="n">
        <v>13</v>
      </c>
      <c r="C6" s="10" t="n">
        <v>0.125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13</v>
      </c>
      <c r="B7" s="10" t="n">
        <v>17</v>
      </c>
      <c r="C7" s="10" t="n">
        <v>0.175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17</v>
      </c>
      <c r="B8" s="10" t="n">
        <v>21</v>
      </c>
      <c r="C8" s="10" t="n">
        <v>0.3125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21</v>
      </c>
      <c r="B9" s="10" t="n">
        <v>25</v>
      </c>
      <c r="C9" s="10" t="n">
        <v>0.2125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10" t="n">
        <v>25</v>
      </c>
      <c r="B10" s="10" t="n">
        <v>29</v>
      </c>
      <c r="C10" s="10" t="n">
        <v>0.1125</v>
      </c>
      <c r="D10" s="16">
        <f>(A10+B10)/2</f>
        <v/>
      </c>
      <c r="E10" s="16">
        <f>B10-A10</f>
        <v/>
      </c>
      <c r="F10" s="16">
        <f>C10/E10</f>
        <v/>
      </c>
      <c r="G10" s="16">
        <f>D10*C10</f>
        <v/>
      </c>
      <c r="H10" s="16">
        <f>D10^2*C10</f>
        <v/>
      </c>
      <c r="I10" s="16">
        <f>I9+C10</f>
        <v/>
      </c>
    </row>
    <row r="11">
      <c r="A11" s="10" t="n">
        <v>29</v>
      </c>
      <c r="B11" s="10" t="n">
        <v>33</v>
      </c>
      <c r="C11" s="10" t="n">
        <v>0.025</v>
      </c>
      <c r="D11" s="16">
        <f>(A11+B11)/2</f>
        <v/>
      </c>
      <c r="E11" s="16">
        <f>B11-A11</f>
        <v/>
      </c>
      <c r="F11" s="16">
        <f>C11/E11</f>
        <v/>
      </c>
      <c r="G11" s="16">
        <f>D11*C11</f>
        <v/>
      </c>
      <c r="H11" s="16">
        <f>D11^2*C11</f>
        <v/>
      </c>
      <c r="I11" s="16">
        <f>I10+C11</f>
        <v/>
      </c>
    </row>
    <row r="12">
      <c r="A12" s="2" t="inlineStr">
        <is>
          <t>Total</t>
        </is>
      </c>
      <c r="C12" s="17">
        <f>SUM(C5:C11)</f>
        <v/>
      </c>
      <c r="G12" s="17">
        <f>SUM(G5:G11)</f>
        <v/>
      </c>
      <c r="H12" s="17">
        <f>SUM(H5:H11)</f>
        <v/>
      </c>
    </row>
    <row r="13"/>
    <row r="14">
      <c r="A14" s="2" t="inlineStr">
        <is>
          <t>Media</t>
        </is>
      </c>
      <c r="B14" s="7">
        <f>G12/C12</f>
        <v/>
      </c>
      <c r="C14" s="8" t="inlineStr">
        <is>
          <t>→ =G12/C12</t>
        </is>
      </c>
    </row>
    <row r="15">
      <c r="A15" s="2" t="inlineStr">
        <is>
          <t>Varianza S²</t>
        </is>
      </c>
      <c r="B15" s="7">
        <f>H12/C12-B14^2</f>
        <v/>
      </c>
      <c r="C15" s="8" t="inlineStr">
        <is>
          <t>→ =H12/C12-B14^2</t>
        </is>
      </c>
    </row>
    <row r="16">
      <c r="A16" s="2" t="inlineStr">
        <is>
          <t>Desviación típica S</t>
        </is>
      </c>
      <c r="B16" s="7">
        <f>SQRT(B15)</f>
        <v/>
      </c>
      <c r="C16" s="8" t="inlineStr">
        <is>
          <t>→ =RAIZ(B15)</t>
        </is>
      </c>
    </row>
    <row r="17">
      <c r="A17" s="2" t="inlineStr">
        <is>
          <t>Coef. de variación CV</t>
        </is>
      </c>
      <c r="B17" s="7">
        <f>B16/B14</f>
        <v/>
      </c>
      <c r="C17" s="8" t="inlineStr">
        <is>
          <t>→ =B16/B14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10</t>
        </is>
      </c>
    </row>
    <row r="2">
      <c r="A2" s="5" t="inlineStr">
        <is>
          <t>Sueldos de 15 trabajadores (miles €)</t>
        </is>
      </c>
    </row>
    <row r="3"/>
    <row r="4">
      <c r="A4" s="15" t="inlineStr">
        <is>
          <t>xᵢ</t>
        </is>
      </c>
      <c r="B4" s="15" t="inlineStr">
        <is>
          <t>nᵢ</t>
        </is>
      </c>
      <c r="C4" s="15" t="inlineStr">
        <is>
          <t>fᵢ</t>
        </is>
      </c>
      <c r="D4" s="15" t="inlineStr">
        <is>
          <t>Nᵢ (acum.)</t>
        </is>
      </c>
      <c r="E4" s="15" t="inlineStr">
        <is>
          <t>xᵢ·nᵢ</t>
        </is>
      </c>
      <c r="F4" s="15" t="inlineStr">
        <is>
          <t>xᵢ²·nᵢ</t>
        </is>
      </c>
    </row>
    <row r="5">
      <c r="A5" s="10" t="n">
        <v>10</v>
      </c>
      <c r="B5" s="10" t="n">
        <v>3</v>
      </c>
      <c r="C5" s="11">
        <f>B5/$B$10</f>
        <v/>
      </c>
      <c r="D5" s="16">
        <f>B5</f>
        <v/>
      </c>
      <c r="E5" s="16">
        <f>A5*B5</f>
        <v/>
      </c>
      <c r="F5" s="16">
        <f>A5^2*B5</f>
        <v/>
      </c>
    </row>
    <row r="6">
      <c r="A6" s="10" t="n">
        <v>12</v>
      </c>
      <c r="B6" s="10" t="n">
        <v>5</v>
      </c>
      <c r="C6" s="11">
        <f>B6/$B$10</f>
        <v/>
      </c>
      <c r="D6" s="16">
        <f>D5+B6</f>
        <v/>
      </c>
      <c r="E6" s="16">
        <f>A6*B6</f>
        <v/>
      </c>
      <c r="F6" s="16">
        <f>A6^2*B6</f>
        <v/>
      </c>
    </row>
    <row r="7">
      <c r="A7" s="10" t="n">
        <v>15</v>
      </c>
      <c r="B7" s="10" t="n">
        <v>3</v>
      </c>
      <c r="C7" s="11">
        <f>B7/$B$10</f>
        <v/>
      </c>
      <c r="D7" s="16">
        <f>D6+B7</f>
        <v/>
      </c>
      <c r="E7" s="16">
        <f>A7*B7</f>
        <v/>
      </c>
      <c r="F7" s="16">
        <f>A7^2*B7</f>
        <v/>
      </c>
    </row>
    <row r="8">
      <c r="A8" s="10" t="n">
        <v>20</v>
      </c>
      <c r="B8" s="10" t="n">
        <v>3</v>
      </c>
      <c r="C8" s="11">
        <f>B8/$B$10</f>
        <v/>
      </c>
      <c r="D8" s="16">
        <f>D7+B8</f>
        <v/>
      </c>
      <c r="E8" s="16">
        <f>A8*B8</f>
        <v/>
      </c>
      <c r="F8" s="16">
        <f>A8^2*B8</f>
        <v/>
      </c>
    </row>
    <row r="9">
      <c r="A9" s="10" t="n">
        <v>30</v>
      </c>
      <c r="B9" s="10" t="n">
        <v>1</v>
      </c>
      <c r="C9" s="11">
        <f>B9/$B$10</f>
        <v/>
      </c>
      <c r="D9" s="16">
        <f>D8+B9</f>
        <v/>
      </c>
      <c r="E9" s="16">
        <f>A9*B9</f>
        <v/>
      </c>
      <c r="F9" s="16">
        <f>A9^2*B9</f>
        <v/>
      </c>
    </row>
    <row r="10">
      <c r="A10" s="2" t="inlineStr">
        <is>
          <t>Total</t>
        </is>
      </c>
      <c r="B10">
        <f>SUM(B5:B9)</f>
        <v/>
      </c>
      <c r="C10">
        <f>SUM(C5:C9)</f>
        <v/>
      </c>
      <c r="E10">
        <f>SUM(E5:E9)</f>
        <v/>
      </c>
      <c r="F10">
        <f>SUM(F5:F9)</f>
        <v/>
      </c>
    </row>
    <row r="11"/>
    <row r="12">
      <c r="A12" s="2" t="inlineStr">
        <is>
          <t>Media</t>
        </is>
      </c>
      <c r="B12" s="7">
        <f>E10/B10</f>
        <v/>
      </c>
      <c r="C12" s="8" t="inlineStr">
        <is>
          <t>→ =E10/B10</t>
        </is>
      </c>
    </row>
    <row r="13">
      <c r="A13" s="2" t="inlineStr">
        <is>
          <t>Varianza S²</t>
        </is>
      </c>
      <c r="B13" s="7">
        <f>F10/B10-B12^2</f>
        <v/>
      </c>
      <c r="C13" s="8" t="inlineStr">
        <is>
          <t>→ =F10/B10-B12^2</t>
        </is>
      </c>
    </row>
    <row r="14">
      <c r="A14" s="2" t="inlineStr">
        <is>
          <t>Desviación típica S</t>
        </is>
      </c>
      <c r="B14" s="7">
        <f>SQRT(B13)</f>
        <v/>
      </c>
      <c r="C14" s="8" t="inlineStr">
        <is>
          <t>→ =RAIZ(B13)</t>
        </is>
      </c>
    </row>
    <row r="15">
      <c r="A15" s="2" t="inlineStr">
        <is>
          <t>CV</t>
        </is>
      </c>
      <c r="B15" s="7">
        <f>B14/B12</f>
        <v/>
      </c>
      <c r="C15" s="8" t="inlineStr">
        <is>
          <t>→ =B14/B12</t>
        </is>
      </c>
    </row>
    <row r="16">
      <c r="A16" s="21" t="inlineStr">
        <is>
          <t>Mediana: n/2 = 7,5 → Nᵢ = 8 → 12. Moda: 12.</t>
        </is>
      </c>
    </row>
    <row r="17">
      <c r="A17" s="2" t="inlineStr">
        <is>
          <t>Media tras +5 %</t>
        </is>
      </c>
      <c r="B17" s="7">
        <f>1.05*B12</f>
        <v/>
      </c>
      <c r="C17" s="8" t="inlineStr">
        <is>
          <t>→ =1,05*B12</t>
        </is>
      </c>
    </row>
    <row r="18">
      <c r="A18" s="2" t="inlineStr">
        <is>
          <t>Varianza tras +5 %</t>
        </is>
      </c>
      <c r="B18" s="7">
        <f>1.05^2*B13</f>
        <v/>
      </c>
      <c r="C18" s="8" t="inlineStr">
        <is>
          <t>→ =1,05^2*B13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11</t>
        </is>
      </c>
    </row>
    <row r="2">
      <c r="A2" s="5" t="inlineStr">
        <is>
          <t>Superficie de 200 apartamentos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nᵢ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40</v>
      </c>
      <c r="B5" s="10" t="n">
        <v>50</v>
      </c>
      <c r="C5" s="10" t="n">
        <v>50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50</v>
      </c>
      <c r="B6" s="10" t="n">
        <v>60</v>
      </c>
      <c r="C6" s="10" t="n">
        <v>40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60</v>
      </c>
      <c r="B7" s="10" t="n">
        <v>80</v>
      </c>
      <c r="C7" s="10" t="n">
        <v>60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80</v>
      </c>
      <c r="B8" s="10" t="n">
        <v>100</v>
      </c>
      <c r="C8" s="10" t="n">
        <v>40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100</v>
      </c>
      <c r="B9" s="10" t="n">
        <v>120</v>
      </c>
      <c r="C9" s="10" t="n">
        <v>10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2" t="inlineStr">
        <is>
          <t>Total</t>
        </is>
      </c>
      <c r="C10" s="17">
        <f>SUM(C5:C9)</f>
        <v/>
      </c>
      <c r="G10" s="17">
        <f>SUM(G5:G9)</f>
        <v/>
      </c>
      <c r="H10" s="17">
        <f>SUM(H5:H9)</f>
        <v/>
      </c>
    </row>
    <row r="11"/>
    <row r="12">
      <c r="A12" s="2" t="inlineStr">
        <is>
          <t>Media</t>
        </is>
      </c>
      <c r="B12" s="7">
        <f>G10/C10</f>
        <v/>
      </c>
      <c r="C12" s="8" t="inlineStr">
        <is>
          <t>→ =G10/C10</t>
        </is>
      </c>
    </row>
    <row r="13">
      <c r="A13" s="2" t="inlineStr">
        <is>
          <t>Varianza S²</t>
        </is>
      </c>
      <c r="B13" s="7">
        <f>H10/C10-B12^2</f>
        <v/>
      </c>
      <c r="C13" s="8" t="inlineStr">
        <is>
          <t>→ =H10/C10-B12^2</t>
        </is>
      </c>
    </row>
    <row r="14">
      <c r="A14" s="2" t="inlineStr">
        <is>
          <t>Desviación típica S</t>
        </is>
      </c>
      <c r="B14" s="7">
        <f>SQRT(B13)</f>
        <v/>
      </c>
      <c r="C14" s="8" t="inlineStr">
        <is>
          <t>→ =RAIZ(B13)</t>
        </is>
      </c>
    </row>
    <row r="15">
      <c r="A15" s="2" t="inlineStr">
        <is>
          <t>Coef. de variación CV</t>
        </is>
      </c>
      <c r="B15" s="7">
        <f>B14/B12</f>
        <v/>
      </c>
      <c r="C15" s="8" t="inlineStr">
        <is>
          <t>→ =B14/B12</t>
        </is>
      </c>
    </row>
    <row r="16">
      <c r="A16" s="2" t="inlineStr">
        <is>
          <t>Alquiler medio (10 €/m²)</t>
        </is>
      </c>
      <c r="B16" s="18">
        <f>10*B12</f>
        <v/>
      </c>
      <c r="C16" s="8" t="inlineStr">
        <is>
          <t>→ =10*B12</t>
        </is>
      </c>
    </row>
    <row r="17">
      <c r="A17" s="2" t="inlineStr">
        <is>
          <t>Moda (intervalos)</t>
        </is>
      </c>
      <c r="B17" s="7">
        <f>A5+(F5-0)/((F5-0)+(F5-F6))*E5</f>
        <v/>
      </c>
      <c r="C17" s="8" t="inlineStr">
        <is>
          <t>→ =A5+(F5-0)/((F5-0)+(F5-F6))*E5</t>
        </is>
      </c>
      <c r="F17" s="5" t="inlineStr">
        <is>
          <t>Intervalo modal: fila 5 (mayor densidad)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12</t>
        </is>
      </c>
    </row>
    <row r="2">
      <c r="A2" s="5" t="inlineStr">
        <is>
          <t>Puntuaciones de 500 empleados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nᵢ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0</v>
      </c>
      <c r="B5" s="10" t="n">
        <v>30</v>
      </c>
      <c r="C5" s="10" t="n">
        <v>94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30</v>
      </c>
      <c r="B6" s="10" t="n">
        <v>50</v>
      </c>
      <c r="C6" s="10" t="n">
        <v>140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50</v>
      </c>
      <c r="B7" s="10" t="n">
        <v>70</v>
      </c>
      <c r="C7" s="10" t="n">
        <v>160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70</v>
      </c>
      <c r="B8" s="10" t="n">
        <v>90</v>
      </c>
      <c r="C8" s="10" t="n">
        <v>98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90</v>
      </c>
      <c r="B9" s="10" t="n">
        <v>100</v>
      </c>
      <c r="C9" s="10" t="n">
        <v>8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2" t="inlineStr">
        <is>
          <t>Total</t>
        </is>
      </c>
      <c r="C10" s="17">
        <f>SUM(C5:C9)</f>
        <v/>
      </c>
      <c r="G10" s="17">
        <f>SUM(G5:G9)</f>
        <v/>
      </c>
      <c r="H10" s="17">
        <f>SUM(H5:H9)</f>
        <v/>
      </c>
    </row>
    <row r="11"/>
    <row r="12">
      <c r="A12" s="2" t="inlineStr">
        <is>
          <t>P₆₅ (jefe de sección)</t>
        </is>
      </c>
      <c r="B12" s="7">
        <f>A7+(0.65*C10-I6)/C7*E7</f>
        <v/>
      </c>
      <c r="C12" s="8" t="inlineStr">
        <is>
          <t>→ =A7+(0,65*C10-I6)/C7*E7</t>
        </is>
      </c>
      <c r="F12" s="5" t="inlineStr">
        <is>
          <t>Intervalo de la fila 7</t>
        </is>
      </c>
    </row>
    <row r="13">
      <c r="A13" s="2" t="inlineStr">
        <is>
          <t>P₈₅ (jefe de departamento)</t>
        </is>
      </c>
      <c r="B13" s="7">
        <f>A8+(0.85*C10-I7)/C8*E8</f>
        <v/>
      </c>
      <c r="C13" s="8" t="inlineStr">
        <is>
          <t>→ =A8+(0,85*C10-I7)/C8*E8</t>
        </is>
      </c>
      <c r="F13" s="5" t="inlineStr">
        <is>
          <t>Intervalo de la fila 8</t>
        </is>
      </c>
    </row>
    <row r="14">
      <c r="A14" s="2" t="inlineStr">
        <is>
          <t>P₉₅ (inspector)</t>
        </is>
      </c>
      <c r="B14" s="7">
        <f>A8+(0.95*C10-I7)/C8*E8</f>
        <v/>
      </c>
      <c r="C14" s="8" t="inlineStr">
        <is>
          <t>→ =A8+(0,95*C10-I7)/C8*E8</t>
        </is>
      </c>
      <c r="F14" s="5" t="inlineStr">
        <is>
          <t>Intervalo de la fila 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13</t>
        </is>
      </c>
    </row>
    <row r="2">
      <c r="A2" s="5" t="inlineStr">
        <is>
          <t>Viviendas: Pontevedra y Galicia</t>
        </is>
      </c>
    </row>
    <row r="3"/>
    <row r="4">
      <c r="A4" s="15" t="inlineStr">
        <is>
          <t>L inf</t>
        </is>
      </c>
      <c r="B4" s="15" t="inlineStr">
        <is>
          <t>L sup</t>
        </is>
      </c>
      <c r="C4" s="15" t="inlineStr">
        <is>
          <t>nᵢ</t>
        </is>
      </c>
      <c r="D4" s="15" t="inlineStr">
        <is>
          <t>Marca xᵢ</t>
        </is>
      </c>
      <c r="E4" s="15" t="inlineStr">
        <is>
          <t>Amplitud aᵢ</t>
        </is>
      </c>
      <c r="F4" s="15" t="inlineStr">
        <is>
          <t>Densidad dᵢ</t>
        </is>
      </c>
      <c r="G4" s="15" t="inlineStr">
        <is>
          <t>xᵢ·nᵢ</t>
        </is>
      </c>
      <c r="H4" s="15" t="inlineStr">
        <is>
          <t>xᵢ²·nᵢ</t>
        </is>
      </c>
      <c r="I4" s="15" t="inlineStr">
        <is>
          <t>Nᵢ (acum.)</t>
        </is>
      </c>
    </row>
    <row r="5">
      <c r="A5" s="10" t="n">
        <v>20</v>
      </c>
      <c r="B5" s="10" t="n">
        <v>40</v>
      </c>
      <c r="C5" s="10" t="n">
        <v>4</v>
      </c>
      <c r="D5" s="16">
        <f>(A5+B5)/2</f>
        <v/>
      </c>
      <c r="E5" s="16">
        <f>B5-A5</f>
        <v/>
      </c>
      <c r="F5" s="16">
        <f>C5/E5</f>
        <v/>
      </c>
      <c r="G5" s="16">
        <f>D5*C5</f>
        <v/>
      </c>
      <c r="H5" s="16">
        <f>D5^2*C5</f>
        <v/>
      </c>
      <c r="I5" s="16">
        <f>C5</f>
        <v/>
      </c>
    </row>
    <row r="6">
      <c r="A6" s="10" t="n">
        <v>40</v>
      </c>
      <c r="B6" s="10" t="n">
        <v>60</v>
      </c>
      <c r="C6" s="10" t="n">
        <v>12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I5+C6</f>
        <v/>
      </c>
    </row>
    <row r="7">
      <c r="A7" s="10" t="n">
        <v>60</v>
      </c>
      <c r="B7" s="10" t="n">
        <v>90</v>
      </c>
      <c r="C7" s="10" t="n">
        <v>51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90</v>
      </c>
      <c r="B8" s="10" t="n">
        <v>120</v>
      </c>
      <c r="C8" s="10" t="n">
        <v>19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120</v>
      </c>
      <c r="B9" s="10" t="n">
        <v>150</v>
      </c>
      <c r="C9" s="10" t="n">
        <v>10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10" t="n">
        <v>150</v>
      </c>
      <c r="B10" s="10" t="n">
        <v>300</v>
      </c>
      <c r="C10" s="10" t="n">
        <v>14</v>
      </c>
      <c r="D10" s="16">
        <f>(A10+B10)/2</f>
        <v/>
      </c>
      <c r="E10" s="16">
        <f>B10-A10</f>
        <v/>
      </c>
      <c r="F10" s="16">
        <f>C10/E10</f>
        <v/>
      </c>
      <c r="G10" s="16">
        <f>D10*C10</f>
        <v/>
      </c>
      <c r="H10" s="16">
        <f>D10^2*C10</f>
        <v/>
      </c>
      <c r="I10" s="16">
        <f>I9+C10</f>
        <v/>
      </c>
    </row>
    <row r="11">
      <c r="A11" s="2" t="inlineStr">
        <is>
          <t>Total</t>
        </is>
      </c>
      <c r="C11" s="17">
        <f>SUM(C5:C10)</f>
        <v/>
      </c>
      <c r="G11" s="17">
        <f>SUM(G5:G10)</f>
        <v/>
      </c>
      <c r="H11" s="17">
        <f>SUM(H5:H10)</f>
        <v/>
      </c>
    </row>
    <row r="12"/>
    <row r="13">
      <c r="A13" s="2" t="inlineStr">
        <is>
          <t>Media</t>
        </is>
      </c>
      <c r="B13" s="7">
        <f>G11/C11</f>
        <v/>
      </c>
      <c r="C13" s="8" t="inlineStr">
        <is>
          <t>→ =G11/C11</t>
        </is>
      </c>
    </row>
    <row r="14">
      <c r="A14" s="2" t="inlineStr">
        <is>
          <t>Varianza S²</t>
        </is>
      </c>
      <c r="B14" s="7">
        <f>H11/C11-B13^2</f>
        <v/>
      </c>
      <c r="C14" s="8" t="inlineStr">
        <is>
          <t>→ =H11/C11-B13^2</t>
        </is>
      </c>
    </row>
    <row r="15">
      <c r="A15" s="2" t="inlineStr">
        <is>
          <t>Desviación típica S</t>
        </is>
      </c>
      <c r="B15" s="7">
        <f>SQRT(B14)</f>
        <v/>
      </c>
      <c r="C15" s="8" t="inlineStr">
        <is>
          <t>→ =RAIZ(B14)</t>
        </is>
      </c>
    </row>
    <row r="16">
      <c r="A16" s="2" t="inlineStr">
        <is>
          <t>Coef. de variación CV</t>
        </is>
      </c>
      <c r="B16" s="7">
        <f>B15/B13</f>
        <v/>
      </c>
      <c r="C16" s="8" t="inlineStr">
        <is>
          <t>→ =B15/B13</t>
        </is>
      </c>
    </row>
    <row r="17">
      <c r="A17" s="2" t="inlineStr">
        <is>
          <t>Moda (intervalos)</t>
        </is>
      </c>
      <c r="B17" s="7">
        <f>A7+(F7-F6)/((F7-F6)+(F7-F8))*E7</f>
        <v/>
      </c>
      <c r="C17" s="8" t="inlineStr">
        <is>
          <t>→ =A7+(F7-F6)/((F7-F6)+(F7-F8))*E7</t>
        </is>
      </c>
      <c r="F17" s="5" t="inlineStr">
        <is>
          <t>Intervalo modal: fila 7 (mayor densidad)</t>
        </is>
      </c>
    </row>
    <row r="18">
      <c r="A18" s="2" t="inlineStr">
        <is>
          <t>P₃₅</t>
        </is>
      </c>
      <c r="B18" s="7">
        <f>A7+(0.35*C11-I6)/C7*E7</f>
        <v/>
      </c>
      <c r="C18" s="8" t="inlineStr">
        <is>
          <t>→ =A7+(0,35*C11-I6)/C7*E7</t>
        </is>
      </c>
      <c r="F18" s="5" t="inlineStr">
        <is>
          <t>Intervalo de la fila 7</t>
        </is>
      </c>
    </row>
    <row r="19">
      <c r="A19" s="2" t="inlineStr">
        <is>
          <t>P₆₅</t>
        </is>
      </c>
      <c r="B19" s="7">
        <f>A8+(0.65*C11-I7)/C8*E8</f>
        <v/>
      </c>
      <c r="C19" s="8" t="inlineStr">
        <is>
          <t>→ =A8+(0,65*C11-I7)/C8*E8</t>
        </is>
      </c>
      <c r="F19" s="5" t="inlineStr">
        <is>
          <t>Intervalo de la fila 8</t>
        </is>
      </c>
    </row>
    <row r="20"/>
    <row r="21">
      <c r="A21" s="14" t="inlineStr">
        <is>
          <t>Galicia (subpoblaciones)</t>
        </is>
      </c>
    </row>
    <row r="22">
      <c r="A22" s="15" t="inlineStr">
        <is>
          <t>Provincia</t>
        </is>
      </c>
      <c r="B22" s="15" t="inlineStr">
        <is>
          <t>T</t>
        </is>
      </c>
      <c r="C22" s="15" t="inlineStr">
        <is>
          <t>Media</t>
        </is>
      </c>
      <c r="D22" s="15" t="inlineStr">
        <is>
          <t>Desv. típica</t>
        </is>
      </c>
      <c r="E22" s="15" t="inlineStr">
        <is>
          <t>Varianza</t>
        </is>
      </c>
      <c r="F22" s="15" t="inlineStr">
        <is>
          <t>(media−global)²·T</t>
        </is>
      </c>
    </row>
    <row r="23">
      <c r="A23" s="11" t="inlineStr">
        <is>
          <t>Pontevedra</t>
        </is>
      </c>
      <c r="B23" s="25">
        <f>C11</f>
        <v/>
      </c>
      <c r="C23" s="25">
        <f>B13</f>
        <v/>
      </c>
      <c r="D23" s="25">
        <f>B15</f>
        <v/>
      </c>
      <c r="E23" s="16">
        <f>D23^2</f>
        <v/>
      </c>
      <c r="F23" s="11">
        <f>(C23-$B$27)^2*B23</f>
        <v/>
      </c>
    </row>
    <row r="24">
      <c r="A24" s="11" t="inlineStr">
        <is>
          <t>A Coruña</t>
        </is>
      </c>
      <c r="B24" s="10" t="n">
        <v>203</v>
      </c>
      <c r="C24" s="10" t="n">
        <v>102.2</v>
      </c>
      <c r="D24" s="10" t="n">
        <v>55.3</v>
      </c>
      <c r="E24" s="16">
        <f>D24^2</f>
        <v/>
      </c>
      <c r="F24" s="11">
        <f>(C24-$B$27)^2*B24</f>
        <v/>
      </c>
    </row>
    <row r="25">
      <c r="A25" s="11" t="inlineStr">
        <is>
          <t>Lugo</t>
        </is>
      </c>
      <c r="B25" s="10" t="n">
        <v>46</v>
      </c>
      <c r="C25" s="10" t="n">
        <v>101.1</v>
      </c>
      <c r="D25" s="10" t="n">
        <v>48.2</v>
      </c>
      <c r="E25" s="16">
        <f>D25^2</f>
        <v/>
      </c>
      <c r="F25" s="11">
        <f>(C25-$B$27)^2*B25</f>
        <v/>
      </c>
    </row>
    <row r="26">
      <c r="A26" s="11" t="inlineStr">
        <is>
          <t>Ourense</t>
        </is>
      </c>
      <c r="B26" s="10" t="n">
        <v>41</v>
      </c>
      <c r="C26" s="10" t="n">
        <v>105.7</v>
      </c>
      <c r="D26" s="10" t="n">
        <v>51</v>
      </c>
      <c r="E26" s="16">
        <f>D26^2</f>
        <v/>
      </c>
      <c r="F26" s="11">
        <f>(C26-$B$27)^2*B26</f>
        <v/>
      </c>
    </row>
    <row r="27">
      <c r="A27" s="2" t="inlineStr">
        <is>
          <t>Media Galicia</t>
        </is>
      </c>
      <c r="B27" s="7">
        <f>SUMPRODUCT(B23:B26,C23:C26)/SUM(B23:B26)</f>
        <v/>
      </c>
      <c r="C27" s="8" t="inlineStr">
        <is>
          <t>→ =SUMAPRODUCTO(B23:B26;C23:C26)/SUMA(B23:B26)</t>
        </is>
      </c>
    </row>
    <row r="28">
      <c r="A28" s="2" t="inlineStr">
        <is>
          <t>Varianza dentro</t>
        </is>
      </c>
      <c r="B28" s="7">
        <f>SUMPRODUCT(B23:B26,E23:E26)/SUM(B23:B26)</f>
        <v/>
      </c>
      <c r="C28" s="8" t="inlineStr">
        <is>
          <t>→ =SUMAPRODUCTO(B23:B26;E23:E26)/SUMA(B23:B26)</t>
        </is>
      </c>
    </row>
    <row r="29">
      <c r="A29" s="2" t="inlineStr">
        <is>
          <t>Varianza entre</t>
        </is>
      </c>
      <c r="B29" s="7">
        <f>SUM(F23:F26)/SUM(B23:B26)</f>
        <v/>
      </c>
      <c r="C29" s="8" t="inlineStr">
        <is>
          <t>→ =SUMA(F23:F26)/SUMA(B23:B26)</t>
        </is>
      </c>
    </row>
    <row r="30">
      <c r="A30" s="2" t="inlineStr">
        <is>
          <t>Varianza Galicia</t>
        </is>
      </c>
      <c r="B30" s="7">
        <f>B28+B29</f>
        <v/>
      </c>
      <c r="C30" s="8" t="inlineStr">
        <is>
          <t>→ =B28+B29</t>
        </is>
      </c>
    </row>
    <row r="31">
      <c r="A31" s="2" t="inlineStr">
        <is>
          <t>Desv. típica Galicia</t>
        </is>
      </c>
      <c r="B31" s="7">
        <f>SQRT(B30)</f>
        <v/>
      </c>
      <c r="C31" s="8" t="inlineStr">
        <is>
          <t>→ =RAIZ(B30)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14</t>
        </is>
      </c>
    </row>
    <row r="2">
      <c r="A2" s="5" t="inlineStr">
        <is>
          <t>Salarios por categoría (miles €)</t>
        </is>
      </c>
    </row>
    <row r="3"/>
    <row r="4">
      <c r="A4" s="15" t="inlineStr">
        <is>
          <t>Categoría</t>
        </is>
      </c>
      <c r="B4" s="15" t="inlineStr">
        <is>
          <t>Nº</t>
        </is>
      </c>
      <c r="C4" s="15" t="inlineStr">
        <is>
          <t>Media</t>
        </is>
      </c>
      <c r="D4" s="15" t="inlineStr">
        <is>
          <t>Desv. típica</t>
        </is>
      </c>
      <c r="E4" s="15" t="inlineStr">
        <is>
          <t>CV</t>
        </is>
      </c>
      <c r="F4" s="15" t="inlineStr">
        <is>
          <t>Varianza</t>
        </is>
      </c>
      <c r="G4" s="15" t="inlineStr">
        <is>
          <t>(media−global)²·T</t>
        </is>
      </c>
    </row>
    <row r="5">
      <c r="A5" s="11" t="inlineStr">
        <is>
          <t>Técnicos</t>
        </is>
      </c>
      <c r="B5" s="10" t="n">
        <v>30</v>
      </c>
      <c r="C5" s="10" t="n">
        <v>30</v>
      </c>
      <c r="D5" s="10" t="n">
        <v>7</v>
      </c>
      <c r="E5" s="16">
        <f>D5/C5</f>
        <v/>
      </c>
      <c r="F5" s="16">
        <f>D5^2</f>
        <v/>
      </c>
      <c r="G5" s="11">
        <f>(C5-$B$8)^2*B5</f>
        <v/>
      </c>
    </row>
    <row r="6">
      <c r="A6" s="11" t="inlineStr">
        <is>
          <t>Administrativos</t>
        </is>
      </c>
      <c r="B6" s="10" t="n">
        <v>50</v>
      </c>
      <c r="C6" s="10" t="n">
        <v>15</v>
      </c>
      <c r="D6" s="10" t="n">
        <v>2.25</v>
      </c>
      <c r="E6" s="16">
        <f>D6/C6</f>
        <v/>
      </c>
      <c r="F6" s="16">
        <f>D6^2</f>
        <v/>
      </c>
      <c r="G6" s="11">
        <f>(C6-$B$8)^2*B6</f>
        <v/>
      </c>
    </row>
    <row r="7">
      <c r="A7" s="11" t="inlineStr">
        <is>
          <t>Operarios</t>
        </is>
      </c>
      <c r="B7" s="10" t="n">
        <v>120</v>
      </c>
      <c r="C7" s="10" t="n">
        <v>20</v>
      </c>
      <c r="D7" s="10" t="n">
        <v>4.24</v>
      </c>
      <c r="E7" s="16">
        <f>D7/C7</f>
        <v/>
      </c>
      <c r="F7" s="16">
        <f>D7^2</f>
        <v/>
      </c>
      <c r="G7" s="11">
        <f>(C7-$B$8)^2*B7</f>
        <v/>
      </c>
    </row>
    <row r="8">
      <c r="A8" s="2" t="inlineStr">
        <is>
          <t>Media global</t>
        </is>
      </c>
      <c r="B8" s="7">
        <f>SUMPRODUCT(B5:B7,C5:C7)/SUM(B5:B7)</f>
        <v/>
      </c>
      <c r="C8" s="8" t="inlineStr">
        <is>
          <t>→ =SUMAPRODUCTO(B5:B7;C5:C7)/SUMA(B5:B7)</t>
        </is>
      </c>
    </row>
    <row r="9">
      <c r="A9" s="2" t="inlineStr">
        <is>
          <t>Varianza dentro</t>
        </is>
      </c>
      <c r="B9" s="7">
        <f>SUMPRODUCT(B5:B7,F5:F7)/SUM(B5:B7)</f>
        <v/>
      </c>
      <c r="C9" s="8" t="inlineStr">
        <is>
          <t>→ =SUMAPRODUCTO(B5:B7;F5:F7)/SUMA(B5:B7)</t>
        </is>
      </c>
    </row>
    <row r="10">
      <c r="A10" s="2" t="inlineStr">
        <is>
          <t>Varianza entre</t>
        </is>
      </c>
      <c r="B10" s="7">
        <f>SUM(G5:G7)/SUM(B5:B7)</f>
        <v/>
      </c>
      <c r="C10" s="8" t="inlineStr">
        <is>
          <t>→ =SUMA(G5:G7)/SUMA(B5:B7)</t>
        </is>
      </c>
    </row>
    <row r="11">
      <c r="A11" s="2" t="inlineStr">
        <is>
          <t>Varianza total</t>
        </is>
      </c>
      <c r="B11" s="7">
        <f>B9+B10</f>
        <v/>
      </c>
      <c r="C11" s="8" t="inlineStr">
        <is>
          <t>→ =B9+B10</t>
        </is>
      </c>
    </row>
    <row r="12">
      <c r="A12" s="2" t="inlineStr">
        <is>
          <t>Desv. típica total</t>
        </is>
      </c>
      <c r="B12" s="7">
        <f>SQRT(B11)</f>
        <v/>
      </c>
      <c r="C12" s="8" t="inlineStr">
        <is>
          <t>→ =RAIZ(B11)</t>
        </is>
      </c>
    </row>
    <row r="13">
      <c r="A13" s="21" t="inlineStr">
        <is>
          <t>Menor CV → administrativos: los más homogéneos.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15</t>
        </is>
      </c>
    </row>
    <row r="2">
      <c r="A2" s="5" t="inlineStr">
        <is>
          <t>Hogares: personas (X) y superficie (Y)</t>
        </is>
      </c>
    </row>
    <row r="3"/>
    <row r="4">
      <c r="A4" s="14" t="inlineStr">
        <is>
          <t>Marginal de Y (superficie)</t>
        </is>
      </c>
    </row>
    <row r="5">
      <c r="A5" s="15" t="inlineStr">
        <is>
          <t>L inf</t>
        </is>
      </c>
      <c r="B5" s="15" t="inlineStr">
        <is>
          <t>L sup</t>
        </is>
      </c>
      <c r="C5" s="15" t="inlineStr">
        <is>
          <t>nᵢ</t>
        </is>
      </c>
      <c r="D5" s="15" t="inlineStr">
        <is>
          <t>Marca xᵢ</t>
        </is>
      </c>
      <c r="E5" s="15" t="inlineStr">
        <is>
          <t>Amplitud aᵢ</t>
        </is>
      </c>
      <c r="F5" s="15" t="inlineStr">
        <is>
          <t>Densidad dᵢ</t>
        </is>
      </c>
      <c r="G5" s="15" t="inlineStr">
        <is>
          <t>xᵢ·nᵢ</t>
        </is>
      </c>
      <c r="H5" s="15" t="inlineStr">
        <is>
          <t>xᵢ²·nᵢ</t>
        </is>
      </c>
      <c r="I5" s="15" t="inlineStr">
        <is>
          <t>Nᵢ (acum.)</t>
        </is>
      </c>
    </row>
    <row r="6">
      <c r="A6" s="10" t="n">
        <v>0</v>
      </c>
      <c r="B6" s="10" t="n">
        <v>60</v>
      </c>
      <c r="C6" s="10" t="n">
        <v>171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C6</f>
        <v/>
      </c>
    </row>
    <row r="7">
      <c r="A7" s="10" t="n">
        <v>60</v>
      </c>
      <c r="B7" s="10" t="n">
        <v>90</v>
      </c>
      <c r="C7" s="10" t="n">
        <v>490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90</v>
      </c>
      <c r="B8" s="10" t="n">
        <v>120</v>
      </c>
      <c r="C8" s="10" t="n">
        <v>225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120</v>
      </c>
      <c r="B9" s="10" t="n">
        <v>200</v>
      </c>
      <c r="C9" s="10" t="n">
        <v>114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2" t="inlineStr">
        <is>
          <t>Total</t>
        </is>
      </c>
      <c r="C10" s="17">
        <f>SUM(C6:C9)</f>
        <v/>
      </c>
      <c r="G10" s="17">
        <f>SUM(G6:G9)</f>
        <v/>
      </c>
      <c r="H10" s="17">
        <f>SUM(H6:H9)</f>
        <v/>
      </c>
    </row>
    <row r="11"/>
    <row r="12">
      <c r="A12" s="2" t="inlineStr">
        <is>
          <t>Moda (intervalos)</t>
        </is>
      </c>
      <c r="B12" s="7">
        <f>A7+(F7-F6)/((F7-F6)+(F7-F8))*E7</f>
        <v/>
      </c>
      <c r="C12" s="8" t="inlineStr">
        <is>
          <t>→ =A7+(F7-F6)/((F7-F6)+(F7-F8))*E7</t>
        </is>
      </c>
      <c r="F12" s="5" t="inlineStr">
        <is>
          <t>Intervalo modal: fila 7 (mayor densidad)</t>
        </is>
      </c>
    </row>
    <row r="13">
      <c r="A13" s="21" t="inlineStr">
        <is>
          <t>Mediana de X: acumuladas 137, 359, 566 … → n/2 = 500 → Me = 3 personas.</t>
        </is>
      </c>
    </row>
    <row r="14"/>
    <row r="15">
      <c r="A15" s="14" t="inlineStr">
        <is>
          <t>Y | X = 5 o más</t>
        </is>
      </c>
    </row>
    <row r="16">
      <c r="A16" s="15" t="inlineStr">
        <is>
          <t>L inf</t>
        </is>
      </c>
      <c r="B16" s="15" t="inlineStr">
        <is>
          <t>L sup</t>
        </is>
      </c>
      <c r="C16" s="15" t="inlineStr">
        <is>
          <t>nᵢ</t>
        </is>
      </c>
      <c r="D16" s="15" t="inlineStr">
        <is>
          <t>Marca xᵢ</t>
        </is>
      </c>
      <c r="E16" s="15" t="inlineStr">
        <is>
          <t>Amplitud aᵢ</t>
        </is>
      </c>
      <c r="F16" s="15" t="inlineStr">
        <is>
          <t>Densidad dᵢ</t>
        </is>
      </c>
      <c r="G16" s="15" t="inlineStr">
        <is>
          <t>xᵢ·nᵢ</t>
        </is>
      </c>
      <c r="H16" s="15" t="inlineStr">
        <is>
          <t>xᵢ²·nᵢ</t>
        </is>
      </c>
      <c r="I16" s="15" t="inlineStr">
        <is>
          <t>Nᵢ (acum.)</t>
        </is>
      </c>
    </row>
    <row r="17">
      <c r="A17" s="10" t="n">
        <v>0</v>
      </c>
      <c r="B17" s="10" t="n">
        <v>60</v>
      </c>
      <c r="C17" s="10" t="n">
        <v>23</v>
      </c>
      <c r="D17" s="16">
        <f>(A17+B17)/2</f>
        <v/>
      </c>
      <c r="E17" s="16">
        <f>B17-A17</f>
        <v/>
      </c>
      <c r="F17" s="16">
        <f>C17/E17</f>
        <v/>
      </c>
      <c r="G17" s="16">
        <f>D17*C17</f>
        <v/>
      </c>
      <c r="H17" s="16">
        <f>D17^2*C17</f>
        <v/>
      </c>
      <c r="I17" s="16">
        <f>C17</f>
        <v/>
      </c>
    </row>
    <row r="18">
      <c r="A18" s="10" t="n">
        <v>60</v>
      </c>
      <c r="B18" s="10" t="n">
        <v>90</v>
      </c>
      <c r="C18" s="10" t="n">
        <v>92</v>
      </c>
      <c r="D18" s="16">
        <f>(A18+B18)/2</f>
        <v/>
      </c>
      <c r="E18" s="16">
        <f>B18-A18</f>
        <v/>
      </c>
      <c r="F18" s="16">
        <f>C18/E18</f>
        <v/>
      </c>
      <c r="G18" s="16">
        <f>D18*C18</f>
        <v/>
      </c>
      <c r="H18" s="16">
        <f>D18^2*C18</f>
        <v/>
      </c>
      <c r="I18" s="16">
        <f>I17+C18</f>
        <v/>
      </c>
    </row>
    <row r="19">
      <c r="A19" s="10" t="n">
        <v>90</v>
      </c>
      <c r="B19" s="10" t="n">
        <v>120</v>
      </c>
      <c r="C19" s="10" t="n">
        <v>53</v>
      </c>
      <c r="D19" s="16">
        <f>(A19+B19)/2</f>
        <v/>
      </c>
      <c r="E19" s="16">
        <f>B19-A19</f>
        <v/>
      </c>
      <c r="F19" s="16">
        <f>C19/E19</f>
        <v/>
      </c>
      <c r="G19" s="16">
        <f>D19*C19</f>
        <v/>
      </c>
      <c r="H19" s="16">
        <f>D19^2*C19</f>
        <v/>
      </c>
      <c r="I19" s="16">
        <f>I18+C19</f>
        <v/>
      </c>
    </row>
    <row r="20">
      <c r="A20" s="10" t="n">
        <v>120</v>
      </c>
      <c r="B20" s="10" t="n">
        <v>200</v>
      </c>
      <c r="C20" s="10" t="n">
        <v>32</v>
      </c>
      <c r="D20" s="16">
        <f>(A20+B20)/2</f>
        <v/>
      </c>
      <c r="E20" s="16">
        <f>B20-A20</f>
        <v/>
      </c>
      <c r="F20" s="16">
        <f>C20/E20</f>
        <v/>
      </c>
      <c r="G20" s="16">
        <f>D20*C20</f>
        <v/>
      </c>
      <c r="H20" s="16">
        <f>D20^2*C20</f>
        <v/>
      </c>
      <c r="I20" s="16">
        <f>I19+C20</f>
        <v/>
      </c>
    </row>
    <row r="21">
      <c r="A21" s="2" t="inlineStr">
        <is>
          <t>Total</t>
        </is>
      </c>
      <c r="C21" s="17">
        <f>SUM(C17:C20)</f>
        <v/>
      </c>
      <c r="G21" s="17">
        <f>SUM(G17:G20)</f>
        <v/>
      </c>
      <c r="H21" s="17">
        <f>SUM(H17:H20)</f>
        <v/>
      </c>
    </row>
    <row r="22"/>
    <row r="23">
      <c r="A23" s="2" t="inlineStr">
        <is>
          <t>Media</t>
        </is>
      </c>
      <c r="B23" s="7">
        <f>G21/C21</f>
        <v/>
      </c>
      <c r="C23" s="8" t="inlineStr">
        <is>
          <t>→ =G21/C21</t>
        </is>
      </c>
    </row>
    <row r="24">
      <c r="A24" s="2" t="inlineStr">
        <is>
          <t>Varianza S²</t>
        </is>
      </c>
      <c r="B24" s="7">
        <f>H21/C21-B23^2</f>
        <v/>
      </c>
      <c r="C24" s="8" t="inlineStr">
        <is>
          <t>→ =H21/C21-B23^2</t>
        </is>
      </c>
    </row>
    <row r="25">
      <c r="A25" s="2" t="inlineStr">
        <is>
          <t>Desviación típica S</t>
        </is>
      </c>
      <c r="B25" s="7">
        <f>SQRT(B24)</f>
        <v/>
      </c>
      <c r="C25" s="8" t="inlineStr">
        <is>
          <t>→ =RAIZ(B24)</t>
        </is>
      </c>
    </row>
    <row r="26">
      <c r="A26" s="2" t="inlineStr">
        <is>
          <t>Coef. de variación CV</t>
        </is>
      </c>
      <c r="B26" s="7">
        <f>B25/B23</f>
        <v/>
      </c>
      <c r="C26" s="8" t="inlineStr">
        <is>
          <t>→ =B25/B23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16</t>
        </is>
      </c>
    </row>
    <row r="2">
      <c r="A2" s="5" t="inlineStr">
        <is>
          <t>Ingresos (X, cientos €) y gasto en streaming (Y, €), 100 familias</t>
        </is>
      </c>
    </row>
    <row r="3"/>
    <row r="4">
      <c r="A4" s="14" t="inlineStr">
        <is>
          <t>Marginal de X</t>
        </is>
      </c>
    </row>
    <row r="5">
      <c r="A5" s="15" t="inlineStr">
        <is>
          <t>L inf</t>
        </is>
      </c>
      <c r="B5" s="15" t="inlineStr">
        <is>
          <t>L sup</t>
        </is>
      </c>
      <c r="C5" s="15" t="inlineStr">
        <is>
          <t>nᵢ</t>
        </is>
      </c>
      <c r="D5" s="15" t="inlineStr">
        <is>
          <t>Marca xᵢ</t>
        </is>
      </c>
      <c r="E5" s="15" t="inlineStr">
        <is>
          <t>Amplitud aᵢ</t>
        </is>
      </c>
      <c r="F5" s="15" t="inlineStr">
        <is>
          <t>Densidad dᵢ</t>
        </is>
      </c>
      <c r="G5" s="15" t="inlineStr">
        <is>
          <t>xᵢ·nᵢ</t>
        </is>
      </c>
      <c r="H5" s="15" t="inlineStr">
        <is>
          <t>xᵢ²·nᵢ</t>
        </is>
      </c>
      <c r="I5" s="15" t="inlineStr">
        <is>
          <t>Nᵢ (acum.)</t>
        </is>
      </c>
    </row>
    <row r="6">
      <c r="A6" s="10" t="n">
        <v>6</v>
      </c>
      <c r="B6" s="10" t="n">
        <v>10</v>
      </c>
      <c r="C6" s="10" t="n">
        <v>6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C6</f>
        <v/>
      </c>
    </row>
    <row r="7">
      <c r="A7" s="10" t="n">
        <v>10</v>
      </c>
      <c r="B7" s="10" t="n">
        <v>15</v>
      </c>
      <c r="C7" s="10" t="n">
        <v>20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15</v>
      </c>
      <c r="B8" s="10" t="n">
        <v>20</v>
      </c>
      <c r="C8" s="10" t="n">
        <v>44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20</v>
      </c>
      <c r="B9" s="10" t="n">
        <v>30</v>
      </c>
      <c r="C9" s="10" t="n">
        <v>28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10" t="n">
        <v>30</v>
      </c>
      <c r="B10" s="10" t="n">
        <v>50</v>
      </c>
      <c r="C10" s="10" t="n">
        <v>2</v>
      </c>
      <c r="D10" s="16">
        <f>(A10+B10)/2</f>
        <v/>
      </c>
      <c r="E10" s="16">
        <f>B10-A10</f>
        <v/>
      </c>
      <c r="F10" s="16">
        <f>C10/E10</f>
        <v/>
      </c>
      <c r="G10" s="16">
        <f>D10*C10</f>
        <v/>
      </c>
      <c r="H10" s="16">
        <f>D10^2*C10</f>
        <v/>
      </c>
      <c r="I10" s="16">
        <f>I9+C10</f>
        <v/>
      </c>
    </row>
    <row r="11">
      <c r="A11" s="2" t="inlineStr">
        <is>
          <t>Total</t>
        </is>
      </c>
      <c r="C11" s="17">
        <f>SUM(C6:C10)</f>
        <v/>
      </c>
      <c r="G11" s="17">
        <f>SUM(G6:G10)</f>
        <v/>
      </c>
      <c r="H11" s="17">
        <f>SUM(H6:H10)</f>
        <v/>
      </c>
    </row>
    <row r="12"/>
    <row r="13">
      <c r="A13" s="2" t="inlineStr">
        <is>
          <t>Media</t>
        </is>
      </c>
      <c r="B13" s="7">
        <f>G11/C11</f>
        <v/>
      </c>
      <c r="C13" s="8" t="inlineStr">
        <is>
          <t>→ =G11/C11</t>
        </is>
      </c>
    </row>
    <row r="14">
      <c r="A14" s="2" t="inlineStr">
        <is>
          <t>Varianza S²</t>
        </is>
      </c>
      <c r="B14" s="7">
        <f>H11/C11-B13^2</f>
        <v/>
      </c>
      <c r="C14" s="8" t="inlineStr">
        <is>
          <t>→ =H11/C11-B13^2</t>
        </is>
      </c>
    </row>
    <row r="15">
      <c r="A15" s="2" t="inlineStr">
        <is>
          <t>Desviación típica S</t>
        </is>
      </c>
      <c r="B15" s="7">
        <f>SQRT(B14)</f>
        <v/>
      </c>
      <c r="C15" s="8" t="inlineStr">
        <is>
          <t>→ =RAIZ(B14)</t>
        </is>
      </c>
    </row>
    <row r="16">
      <c r="A16" s="2" t="inlineStr">
        <is>
          <t>Coef. de variación CV</t>
        </is>
      </c>
      <c r="B16" s="7">
        <f>B15/B13</f>
        <v/>
      </c>
      <c r="C16" s="8" t="inlineStr">
        <is>
          <t>→ =B15/B13</t>
        </is>
      </c>
    </row>
    <row r="17">
      <c r="A17" s="14" t="inlineStr">
        <is>
          <t>Marginal de Y</t>
        </is>
      </c>
    </row>
    <row r="18">
      <c r="A18" s="15" t="inlineStr">
        <is>
          <t>L inf</t>
        </is>
      </c>
      <c r="B18" s="15" t="inlineStr">
        <is>
          <t>L sup</t>
        </is>
      </c>
      <c r="C18" s="15" t="inlineStr">
        <is>
          <t>nᵢ</t>
        </is>
      </c>
      <c r="D18" s="15" t="inlineStr">
        <is>
          <t>Marca xᵢ</t>
        </is>
      </c>
      <c r="E18" s="15" t="inlineStr">
        <is>
          <t>Amplitud aᵢ</t>
        </is>
      </c>
      <c r="F18" s="15" t="inlineStr">
        <is>
          <t>Densidad dᵢ</t>
        </is>
      </c>
      <c r="G18" s="15" t="inlineStr">
        <is>
          <t>xᵢ·nᵢ</t>
        </is>
      </c>
      <c r="H18" s="15" t="inlineStr">
        <is>
          <t>xᵢ²·nᵢ</t>
        </is>
      </c>
      <c r="I18" s="15" t="inlineStr">
        <is>
          <t>Nᵢ (acum.)</t>
        </is>
      </c>
    </row>
    <row r="19">
      <c r="A19" s="10" t="n">
        <v>0</v>
      </c>
      <c r="B19" s="10" t="n">
        <v>12</v>
      </c>
      <c r="C19" s="10" t="n">
        <v>28</v>
      </c>
      <c r="D19" s="16">
        <f>(A19+B19)/2</f>
        <v/>
      </c>
      <c r="E19" s="16">
        <f>B19-A19</f>
        <v/>
      </c>
      <c r="F19" s="16">
        <f>C19/E19</f>
        <v/>
      </c>
      <c r="G19" s="16">
        <f>D19*C19</f>
        <v/>
      </c>
      <c r="H19" s="16">
        <f>D19^2*C19</f>
        <v/>
      </c>
      <c r="I19" s="16">
        <f>C19</f>
        <v/>
      </c>
    </row>
    <row r="20">
      <c r="A20" s="10" t="n">
        <v>12</v>
      </c>
      <c r="B20" s="10" t="n">
        <v>48</v>
      </c>
      <c r="C20" s="10" t="n">
        <v>30</v>
      </c>
      <c r="D20" s="16">
        <f>(A20+B20)/2</f>
        <v/>
      </c>
      <c r="E20" s="16">
        <f>B20-A20</f>
        <v/>
      </c>
      <c r="F20" s="16">
        <f>C20/E20</f>
        <v/>
      </c>
      <c r="G20" s="16">
        <f>D20*C20</f>
        <v/>
      </c>
      <c r="H20" s="16">
        <f>D20^2*C20</f>
        <v/>
      </c>
      <c r="I20" s="16">
        <f>I19+C20</f>
        <v/>
      </c>
    </row>
    <row r="21">
      <c r="A21" s="10" t="n">
        <v>48</v>
      </c>
      <c r="B21" s="10" t="n">
        <v>120</v>
      </c>
      <c r="C21" s="10" t="n">
        <v>36</v>
      </c>
      <c r="D21" s="16">
        <f>(A21+B21)/2</f>
        <v/>
      </c>
      <c r="E21" s="16">
        <f>B21-A21</f>
        <v/>
      </c>
      <c r="F21" s="16">
        <f>C21/E21</f>
        <v/>
      </c>
      <c r="G21" s="16">
        <f>D21*C21</f>
        <v/>
      </c>
      <c r="H21" s="16">
        <f>D21^2*C21</f>
        <v/>
      </c>
      <c r="I21" s="16">
        <f>I20+C21</f>
        <v/>
      </c>
    </row>
    <row r="22">
      <c r="A22" s="10" t="n">
        <v>120</v>
      </c>
      <c r="B22" s="10" t="n">
        <v>480</v>
      </c>
      <c r="C22" s="10" t="n">
        <v>6</v>
      </c>
      <c r="D22" s="16">
        <f>(A22+B22)/2</f>
        <v/>
      </c>
      <c r="E22" s="16">
        <f>B22-A22</f>
        <v/>
      </c>
      <c r="F22" s="16">
        <f>C22/E22</f>
        <v/>
      </c>
      <c r="G22" s="16">
        <f>D22*C22</f>
        <v/>
      </c>
      <c r="H22" s="16">
        <f>D22^2*C22</f>
        <v/>
      </c>
      <c r="I22" s="16">
        <f>I21+C22</f>
        <v/>
      </c>
    </row>
    <row r="23">
      <c r="A23" s="2" t="inlineStr">
        <is>
          <t>Total</t>
        </is>
      </c>
      <c r="C23" s="17">
        <f>SUM(C19:C22)</f>
        <v/>
      </c>
      <c r="G23" s="17">
        <f>SUM(G19:G22)</f>
        <v/>
      </c>
      <c r="H23" s="17">
        <f>SUM(H19:H22)</f>
        <v/>
      </c>
    </row>
    <row r="24"/>
    <row r="25">
      <c r="A25" s="2" t="inlineStr">
        <is>
          <t>Media</t>
        </is>
      </c>
      <c r="B25" s="7">
        <f>G23/C23</f>
        <v/>
      </c>
      <c r="C25" s="8" t="inlineStr">
        <is>
          <t>→ =G23/C23</t>
        </is>
      </c>
    </row>
    <row r="26">
      <c r="A26" s="2" t="inlineStr">
        <is>
          <t>Varianza S²</t>
        </is>
      </c>
      <c r="B26" s="7">
        <f>H23/C23-B25^2</f>
        <v/>
      </c>
      <c r="C26" s="8" t="inlineStr">
        <is>
          <t>→ =H23/C23-B25^2</t>
        </is>
      </c>
    </row>
    <row r="27">
      <c r="A27" s="2" t="inlineStr">
        <is>
          <t>Desviación típica S</t>
        </is>
      </c>
      <c r="B27" s="7">
        <f>SQRT(B26)</f>
        <v/>
      </c>
      <c r="C27" s="8" t="inlineStr">
        <is>
          <t>→ =RAIZ(B26)</t>
        </is>
      </c>
    </row>
    <row r="28">
      <c r="A28" s="2" t="inlineStr">
        <is>
          <t>Coef. de variación CV</t>
        </is>
      </c>
      <c r="B28" s="7">
        <f>B27/B25</f>
        <v/>
      </c>
      <c r="C28" s="8" t="inlineStr">
        <is>
          <t>→ =B27/B25</t>
        </is>
      </c>
    </row>
    <row r="29">
      <c r="A29" s="21" t="inlineStr">
        <is>
          <t>Independencia: f(6-10, 0-12) = 0,04 ≠ 0,06 × 0,28 = 0,0168 → NO independientes.</t>
        </is>
      </c>
    </row>
    <row r="30"/>
    <row r="31">
      <c r="A31" s="14" t="inlineStr">
        <is>
          <t>Y | X ≤ 20 (ingresos hasta 2000 €)</t>
        </is>
      </c>
    </row>
    <row r="32">
      <c r="A32" s="15" t="inlineStr">
        <is>
          <t>L inf</t>
        </is>
      </c>
      <c r="B32" s="15" t="inlineStr">
        <is>
          <t>L sup</t>
        </is>
      </c>
      <c r="C32" s="15" t="inlineStr">
        <is>
          <t>nᵢ</t>
        </is>
      </c>
      <c r="D32" s="15" t="inlineStr">
        <is>
          <t>Marca xᵢ</t>
        </is>
      </c>
      <c r="E32" s="15" t="inlineStr">
        <is>
          <t>Amplitud aᵢ</t>
        </is>
      </c>
      <c r="F32" s="15" t="inlineStr">
        <is>
          <t>Densidad dᵢ</t>
        </is>
      </c>
      <c r="G32" s="15" t="inlineStr">
        <is>
          <t>xᵢ·nᵢ</t>
        </is>
      </c>
      <c r="H32" s="15" t="inlineStr">
        <is>
          <t>xᵢ²·nᵢ</t>
        </is>
      </c>
      <c r="I32" s="15" t="inlineStr">
        <is>
          <t>Nᵢ (acum.)</t>
        </is>
      </c>
    </row>
    <row r="33">
      <c r="A33" s="10" t="n">
        <v>0</v>
      </c>
      <c r="B33" s="10" t="n">
        <v>12</v>
      </c>
      <c r="C33" s="10" t="n">
        <v>22</v>
      </c>
      <c r="D33" s="16">
        <f>(A33+B33)/2</f>
        <v/>
      </c>
      <c r="E33" s="16">
        <f>B33-A33</f>
        <v/>
      </c>
      <c r="F33" s="16">
        <f>C33/E33</f>
        <v/>
      </c>
      <c r="G33" s="16">
        <f>D33*C33</f>
        <v/>
      </c>
      <c r="H33" s="16">
        <f>D33^2*C33</f>
        <v/>
      </c>
      <c r="I33" s="16">
        <f>C33</f>
        <v/>
      </c>
    </row>
    <row r="34">
      <c r="A34" s="10" t="n">
        <v>12</v>
      </c>
      <c r="B34" s="10" t="n">
        <v>48</v>
      </c>
      <c r="C34" s="10" t="n">
        <v>21</v>
      </c>
      <c r="D34" s="16">
        <f>(A34+B34)/2</f>
        <v/>
      </c>
      <c r="E34" s="16">
        <f>B34-A34</f>
        <v/>
      </c>
      <c r="F34" s="16">
        <f>C34/E34</f>
        <v/>
      </c>
      <c r="G34" s="16">
        <f>D34*C34</f>
        <v/>
      </c>
      <c r="H34" s="16">
        <f>D34^2*C34</f>
        <v/>
      </c>
      <c r="I34" s="16">
        <f>I33+C34</f>
        <v/>
      </c>
    </row>
    <row r="35">
      <c r="A35" s="10" t="n">
        <v>48</v>
      </c>
      <c r="B35" s="10" t="n">
        <v>120</v>
      </c>
      <c r="C35" s="10" t="n">
        <v>24</v>
      </c>
      <c r="D35" s="16">
        <f>(A35+B35)/2</f>
        <v/>
      </c>
      <c r="E35" s="16">
        <f>B35-A35</f>
        <v/>
      </c>
      <c r="F35" s="16">
        <f>C35/E35</f>
        <v/>
      </c>
      <c r="G35" s="16">
        <f>D35*C35</f>
        <v/>
      </c>
      <c r="H35" s="16">
        <f>D35^2*C35</f>
        <v/>
      </c>
      <c r="I35" s="16">
        <f>I34+C35</f>
        <v/>
      </c>
    </row>
    <row r="36">
      <c r="A36" s="10" t="n">
        <v>120</v>
      </c>
      <c r="B36" s="10" t="n">
        <v>480</v>
      </c>
      <c r="C36" s="10" t="n">
        <v>3</v>
      </c>
      <c r="D36" s="16">
        <f>(A36+B36)/2</f>
        <v/>
      </c>
      <c r="E36" s="16">
        <f>B36-A36</f>
        <v/>
      </c>
      <c r="F36" s="16">
        <f>C36/E36</f>
        <v/>
      </c>
      <c r="G36" s="16">
        <f>D36*C36</f>
        <v/>
      </c>
      <c r="H36" s="16">
        <f>D36^2*C36</f>
        <v/>
      </c>
      <c r="I36" s="16">
        <f>I35+C36</f>
        <v/>
      </c>
    </row>
    <row r="37">
      <c r="A37" s="2" t="inlineStr">
        <is>
          <t>Total</t>
        </is>
      </c>
      <c r="C37" s="17">
        <f>SUM(C33:C36)</f>
        <v/>
      </c>
      <c r="G37" s="17">
        <f>SUM(G33:G36)</f>
        <v/>
      </c>
      <c r="H37" s="17">
        <f>SUM(H33:H36)</f>
        <v/>
      </c>
    </row>
    <row r="38"/>
    <row r="39">
      <c r="A39" s="2" t="inlineStr">
        <is>
          <t>C₁</t>
        </is>
      </c>
      <c r="B39" s="7">
        <f>A33+(0.25*C37-0)/C33*E33</f>
        <v/>
      </c>
      <c r="C39" s="8" t="inlineStr">
        <is>
          <t>→ =A33+(0,25*C37-0)/C33*E33</t>
        </is>
      </c>
      <c r="F39" s="5" t="inlineStr">
        <is>
          <t>Intervalo de la fila 33</t>
        </is>
      </c>
    </row>
    <row r="40">
      <c r="A40" s="2" t="inlineStr">
        <is>
          <t>C₃</t>
        </is>
      </c>
      <c r="B40" s="7">
        <f>A35+(0.75*C37-I34)/C35*E35</f>
        <v/>
      </c>
      <c r="C40" s="8" t="inlineStr">
        <is>
          <t>→ =A35+(0,75*C37-I34)/C35*E35</t>
        </is>
      </c>
      <c r="F40" s="5" t="inlineStr">
        <is>
          <t>Intervalo de la fila 35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17</t>
        </is>
      </c>
    </row>
    <row r="2">
      <c r="A2" s="5" t="inlineStr">
        <is>
          <t>Gasto diario de turistas por provincia</t>
        </is>
      </c>
    </row>
    <row r="3"/>
    <row r="4">
      <c r="A4" s="14" t="inlineStr">
        <is>
          <t>A Coruña</t>
        </is>
      </c>
    </row>
    <row r="5">
      <c r="A5" s="15" t="inlineStr">
        <is>
          <t>L inf</t>
        </is>
      </c>
      <c r="B5" s="15" t="inlineStr">
        <is>
          <t>L sup</t>
        </is>
      </c>
      <c r="C5" s="15" t="inlineStr">
        <is>
          <t>nᵢ</t>
        </is>
      </c>
      <c r="D5" s="15" t="inlineStr">
        <is>
          <t>Marca xᵢ</t>
        </is>
      </c>
      <c r="E5" s="15" t="inlineStr">
        <is>
          <t>Amplitud aᵢ</t>
        </is>
      </c>
      <c r="F5" s="15" t="inlineStr">
        <is>
          <t>Densidad dᵢ</t>
        </is>
      </c>
      <c r="G5" s="15" t="inlineStr">
        <is>
          <t>xᵢ·nᵢ</t>
        </is>
      </c>
      <c r="H5" s="15" t="inlineStr">
        <is>
          <t>xᵢ²·nᵢ</t>
        </is>
      </c>
      <c r="I5" s="15" t="inlineStr">
        <is>
          <t>Nᵢ (acum.)</t>
        </is>
      </c>
    </row>
    <row r="6">
      <c r="A6" s="10" t="n">
        <v>0</v>
      </c>
      <c r="B6" s="10" t="n">
        <v>60</v>
      </c>
      <c r="C6" s="10" t="n">
        <v>5</v>
      </c>
      <c r="D6" s="16">
        <f>(A6+B6)/2</f>
        <v/>
      </c>
      <c r="E6" s="16">
        <f>B6-A6</f>
        <v/>
      </c>
      <c r="F6" s="16">
        <f>C6/E6</f>
        <v/>
      </c>
      <c r="G6" s="16">
        <f>D6*C6</f>
        <v/>
      </c>
      <c r="H6" s="16">
        <f>D6^2*C6</f>
        <v/>
      </c>
      <c r="I6" s="16">
        <f>C6</f>
        <v/>
      </c>
    </row>
    <row r="7">
      <c r="A7" s="10" t="n">
        <v>60</v>
      </c>
      <c r="B7" s="10" t="n">
        <v>90</v>
      </c>
      <c r="C7" s="10" t="n">
        <v>8</v>
      </c>
      <c r="D7" s="16">
        <f>(A7+B7)/2</f>
        <v/>
      </c>
      <c r="E7" s="16">
        <f>B7-A7</f>
        <v/>
      </c>
      <c r="F7" s="16">
        <f>C7/E7</f>
        <v/>
      </c>
      <c r="G7" s="16">
        <f>D7*C7</f>
        <v/>
      </c>
      <c r="H7" s="16">
        <f>D7^2*C7</f>
        <v/>
      </c>
      <c r="I7" s="16">
        <f>I6+C7</f>
        <v/>
      </c>
    </row>
    <row r="8">
      <c r="A8" s="10" t="n">
        <v>90</v>
      </c>
      <c r="B8" s="10" t="n">
        <v>120</v>
      </c>
      <c r="C8" s="10" t="n">
        <v>10</v>
      </c>
      <c r="D8" s="16">
        <f>(A8+B8)/2</f>
        <v/>
      </c>
      <c r="E8" s="16">
        <f>B8-A8</f>
        <v/>
      </c>
      <c r="F8" s="16">
        <f>C8/E8</f>
        <v/>
      </c>
      <c r="G8" s="16">
        <f>D8*C8</f>
        <v/>
      </c>
      <c r="H8" s="16">
        <f>D8^2*C8</f>
        <v/>
      </c>
      <c r="I8" s="16">
        <f>I7+C8</f>
        <v/>
      </c>
    </row>
    <row r="9">
      <c r="A9" s="10" t="n">
        <v>120</v>
      </c>
      <c r="B9" s="10" t="n">
        <v>180</v>
      </c>
      <c r="C9" s="10" t="n">
        <v>30</v>
      </c>
      <c r="D9" s="16">
        <f>(A9+B9)/2</f>
        <v/>
      </c>
      <c r="E9" s="16">
        <f>B9-A9</f>
        <v/>
      </c>
      <c r="F9" s="16">
        <f>C9/E9</f>
        <v/>
      </c>
      <c r="G9" s="16">
        <f>D9*C9</f>
        <v/>
      </c>
      <c r="H9" s="16">
        <f>D9^2*C9</f>
        <v/>
      </c>
      <c r="I9" s="16">
        <f>I8+C9</f>
        <v/>
      </c>
    </row>
    <row r="10">
      <c r="A10" s="10" t="n">
        <v>180</v>
      </c>
      <c r="B10" s="10" t="n">
        <v>300</v>
      </c>
      <c r="C10" s="10" t="n">
        <v>10</v>
      </c>
      <c r="D10" s="16">
        <f>(A10+B10)/2</f>
        <v/>
      </c>
      <c r="E10" s="16">
        <f>B10-A10</f>
        <v/>
      </c>
      <c r="F10" s="16">
        <f>C10/E10</f>
        <v/>
      </c>
      <c r="G10" s="16">
        <f>D10*C10</f>
        <v/>
      </c>
      <c r="H10" s="16">
        <f>D10^2*C10</f>
        <v/>
      </c>
      <c r="I10" s="16">
        <f>I9+C10</f>
        <v/>
      </c>
    </row>
    <row r="11">
      <c r="A11" s="2" t="inlineStr">
        <is>
          <t>Total</t>
        </is>
      </c>
      <c r="C11" s="17">
        <f>SUM(C6:C10)</f>
        <v/>
      </c>
      <c r="G11" s="17">
        <f>SUM(G6:G10)</f>
        <v/>
      </c>
      <c r="H11" s="17">
        <f>SUM(H6:H10)</f>
        <v/>
      </c>
    </row>
    <row r="12"/>
    <row r="13">
      <c r="A13" s="2" t="inlineStr">
        <is>
          <t>Media</t>
        </is>
      </c>
      <c r="B13" s="7">
        <f>G11/C11</f>
        <v/>
      </c>
      <c r="C13" s="8" t="inlineStr">
        <is>
          <t>→ =G11/C11</t>
        </is>
      </c>
    </row>
    <row r="14">
      <c r="A14" s="2" t="inlineStr">
        <is>
          <t>Varianza S²</t>
        </is>
      </c>
      <c r="B14" s="7">
        <f>H11/C11-B13^2</f>
        <v/>
      </c>
      <c r="C14" s="8" t="inlineStr">
        <is>
          <t>→ =H11/C11-B13^2</t>
        </is>
      </c>
    </row>
    <row r="15">
      <c r="A15" s="2" t="inlineStr">
        <is>
          <t>Desviación típica S</t>
        </is>
      </c>
      <c r="B15" s="7">
        <f>SQRT(B14)</f>
        <v/>
      </c>
      <c r="C15" s="8" t="inlineStr">
        <is>
          <t>→ =RAIZ(B14)</t>
        </is>
      </c>
    </row>
    <row r="16">
      <c r="A16" s="2" t="inlineStr">
        <is>
          <t>Coef. de variación CV</t>
        </is>
      </c>
      <c r="B16" s="7">
        <f>B15/B13</f>
        <v/>
      </c>
      <c r="C16" s="8" t="inlineStr">
        <is>
          <t>→ =B15/B13</t>
        </is>
      </c>
    </row>
    <row r="17">
      <c r="A17" s="14" t="inlineStr">
        <is>
          <t>Pontevedra</t>
        </is>
      </c>
    </row>
    <row r="18">
      <c r="A18" s="15" t="inlineStr">
        <is>
          <t>L inf</t>
        </is>
      </c>
      <c r="B18" s="15" t="inlineStr">
        <is>
          <t>L sup</t>
        </is>
      </c>
      <c r="C18" s="15" t="inlineStr">
        <is>
          <t>nᵢ</t>
        </is>
      </c>
      <c r="D18" s="15" t="inlineStr">
        <is>
          <t>Marca xᵢ</t>
        </is>
      </c>
      <c r="E18" s="15" t="inlineStr">
        <is>
          <t>Amplitud aᵢ</t>
        </is>
      </c>
      <c r="F18" s="15" t="inlineStr">
        <is>
          <t>Densidad dᵢ</t>
        </is>
      </c>
      <c r="G18" s="15" t="inlineStr">
        <is>
          <t>xᵢ·nᵢ</t>
        </is>
      </c>
      <c r="H18" s="15" t="inlineStr">
        <is>
          <t>xᵢ²·nᵢ</t>
        </is>
      </c>
      <c r="I18" s="15" t="inlineStr">
        <is>
          <t>Nᵢ (acum.)</t>
        </is>
      </c>
    </row>
    <row r="19">
      <c r="A19" s="10" t="n">
        <v>0</v>
      </c>
      <c r="B19" s="10" t="n">
        <v>60</v>
      </c>
      <c r="C19" s="10" t="n">
        <v>8</v>
      </c>
      <c r="D19" s="16">
        <f>(A19+B19)/2</f>
        <v/>
      </c>
      <c r="E19" s="16">
        <f>B19-A19</f>
        <v/>
      </c>
      <c r="F19" s="16">
        <f>C19/E19</f>
        <v/>
      </c>
      <c r="G19" s="16">
        <f>D19*C19</f>
        <v/>
      </c>
      <c r="H19" s="16">
        <f>D19^2*C19</f>
        <v/>
      </c>
      <c r="I19" s="16">
        <f>C19</f>
        <v/>
      </c>
    </row>
    <row r="20">
      <c r="A20" s="10" t="n">
        <v>60</v>
      </c>
      <c r="B20" s="10" t="n">
        <v>90</v>
      </c>
      <c r="C20" s="10" t="n">
        <v>10</v>
      </c>
      <c r="D20" s="16">
        <f>(A20+B20)/2</f>
        <v/>
      </c>
      <c r="E20" s="16">
        <f>B20-A20</f>
        <v/>
      </c>
      <c r="F20" s="16">
        <f>C20/E20</f>
        <v/>
      </c>
      <c r="G20" s="16">
        <f>D20*C20</f>
        <v/>
      </c>
      <c r="H20" s="16">
        <f>D20^2*C20</f>
        <v/>
      </c>
      <c r="I20" s="16">
        <f>I19+C20</f>
        <v/>
      </c>
    </row>
    <row r="21">
      <c r="A21" s="10" t="n">
        <v>90</v>
      </c>
      <c r="B21" s="10" t="n">
        <v>120</v>
      </c>
      <c r="C21" s="10" t="n">
        <v>28</v>
      </c>
      <c r="D21" s="16">
        <f>(A21+B21)/2</f>
        <v/>
      </c>
      <c r="E21" s="16">
        <f>B21-A21</f>
        <v/>
      </c>
      <c r="F21" s="16">
        <f>C21/E21</f>
        <v/>
      </c>
      <c r="G21" s="16">
        <f>D21*C21</f>
        <v/>
      </c>
      <c r="H21" s="16">
        <f>D21^2*C21</f>
        <v/>
      </c>
      <c r="I21" s="16">
        <f>I20+C21</f>
        <v/>
      </c>
    </row>
    <row r="22">
      <c r="A22" s="10" t="n">
        <v>120</v>
      </c>
      <c r="B22" s="10" t="n">
        <v>180</v>
      </c>
      <c r="C22" s="10" t="n">
        <v>12</v>
      </c>
      <c r="D22" s="16">
        <f>(A22+B22)/2</f>
        <v/>
      </c>
      <c r="E22" s="16">
        <f>B22-A22</f>
        <v/>
      </c>
      <c r="F22" s="16">
        <f>C22/E22</f>
        <v/>
      </c>
      <c r="G22" s="16">
        <f>D22*C22</f>
        <v/>
      </c>
      <c r="H22" s="16">
        <f>D22^2*C22</f>
        <v/>
      </c>
      <c r="I22" s="16">
        <f>I21+C22</f>
        <v/>
      </c>
    </row>
    <row r="23">
      <c r="A23" s="10" t="n">
        <v>180</v>
      </c>
      <c r="B23" s="10" t="n">
        <v>300</v>
      </c>
      <c r="C23" s="10" t="n">
        <v>4</v>
      </c>
      <c r="D23" s="16">
        <f>(A23+B23)/2</f>
        <v/>
      </c>
      <c r="E23" s="16">
        <f>B23-A23</f>
        <v/>
      </c>
      <c r="F23" s="16">
        <f>C23/E23</f>
        <v/>
      </c>
      <c r="G23" s="16">
        <f>D23*C23</f>
        <v/>
      </c>
      <c r="H23" s="16">
        <f>D23^2*C23</f>
        <v/>
      </c>
      <c r="I23" s="16">
        <f>I22+C23</f>
        <v/>
      </c>
    </row>
    <row r="24">
      <c r="A24" s="2" t="inlineStr">
        <is>
          <t>Total</t>
        </is>
      </c>
      <c r="C24" s="17">
        <f>SUM(C19:C23)</f>
        <v/>
      </c>
      <c r="G24" s="17">
        <f>SUM(G19:G23)</f>
        <v/>
      </c>
      <c r="H24" s="17">
        <f>SUM(H19:H23)</f>
        <v/>
      </c>
    </row>
    <row r="25"/>
    <row r="26">
      <c r="A26" s="2" t="inlineStr">
        <is>
          <t>Media</t>
        </is>
      </c>
      <c r="B26" s="7">
        <f>G24/C24</f>
        <v/>
      </c>
      <c r="C26" s="8" t="inlineStr">
        <is>
          <t>→ =G24/C24</t>
        </is>
      </c>
    </row>
    <row r="27">
      <c r="A27" s="2" t="inlineStr">
        <is>
          <t>Varianza S²</t>
        </is>
      </c>
      <c r="B27" s="7">
        <f>H24/C24-B26^2</f>
        <v/>
      </c>
      <c r="C27" s="8" t="inlineStr">
        <is>
          <t>→ =H24/C24-B26^2</t>
        </is>
      </c>
    </row>
    <row r="28">
      <c r="A28" s="2" t="inlineStr">
        <is>
          <t>Desviación típica S</t>
        </is>
      </c>
      <c r="B28" s="7">
        <f>SQRT(B27)</f>
        <v/>
      </c>
      <c r="C28" s="8" t="inlineStr">
        <is>
          <t>→ =RAIZ(B27)</t>
        </is>
      </c>
    </row>
    <row r="29">
      <c r="A29" s="2" t="inlineStr">
        <is>
          <t>Coef. de variación CV</t>
        </is>
      </c>
      <c r="B29" s="7">
        <f>B28/B26</f>
        <v/>
      </c>
      <c r="C29" s="8" t="inlineStr">
        <is>
          <t>→ =B28/B26</t>
        </is>
      </c>
    </row>
    <row r="30">
      <c r="A30" s="2" t="inlineStr">
        <is>
          <t>P₇₅ Pontevedra</t>
        </is>
      </c>
      <c r="B30" s="7">
        <f>A22+(0.75*C24-I21)/C22*E22</f>
        <v/>
      </c>
      <c r="C30" s="8" t="inlineStr">
        <is>
          <t>→ =A22+(0,75*C24-I21)/C22*E22</t>
        </is>
      </c>
      <c r="F30" s="5" t="inlineStr">
        <is>
          <t>Intervalo de la fila 22</t>
        </is>
      </c>
    </row>
    <row r="31">
      <c r="A31" s="14" t="inlineStr">
        <is>
          <t>Galicia (total)</t>
        </is>
      </c>
    </row>
    <row r="32">
      <c r="A32" s="15" t="inlineStr">
        <is>
          <t>L inf</t>
        </is>
      </c>
      <c r="B32" s="15" t="inlineStr">
        <is>
          <t>L sup</t>
        </is>
      </c>
      <c r="C32" s="15" t="inlineStr">
        <is>
          <t>nᵢ</t>
        </is>
      </c>
      <c r="D32" s="15" t="inlineStr">
        <is>
          <t>Marca xᵢ</t>
        </is>
      </c>
      <c r="E32" s="15" t="inlineStr">
        <is>
          <t>Amplitud aᵢ</t>
        </is>
      </c>
      <c r="F32" s="15" t="inlineStr">
        <is>
          <t>Densidad dᵢ</t>
        </is>
      </c>
      <c r="G32" s="15" t="inlineStr">
        <is>
          <t>xᵢ·nᵢ</t>
        </is>
      </c>
      <c r="H32" s="15" t="inlineStr">
        <is>
          <t>xᵢ²·nᵢ</t>
        </is>
      </c>
      <c r="I32" s="15" t="inlineStr">
        <is>
          <t>Nᵢ (acum.)</t>
        </is>
      </c>
    </row>
    <row r="33">
      <c r="A33" s="10" t="n">
        <v>0</v>
      </c>
      <c r="B33" s="10" t="n">
        <v>60</v>
      </c>
      <c r="C33" s="10" t="n">
        <v>15</v>
      </c>
      <c r="D33" s="16">
        <f>(A33+B33)/2</f>
        <v/>
      </c>
      <c r="E33" s="16">
        <f>B33-A33</f>
        <v/>
      </c>
      <c r="F33" s="16">
        <f>C33/E33</f>
        <v/>
      </c>
      <c r="G33" s="16">
        <f>D33*C33</f>
        <v/>
      </c>
      <c r="H33" s="16">
        <f>D33^2*C33</f>
        <v/>
      </c>
      <c r="I33" s="16">
        <f>C33</f>
        <v/>
      </c>
    </row>
    <row r="34">
      <c r="A34" s="10" t="n">
        <v>60</v>
      </c>
      <c r="B34" s="10" t="n">
        <v>90</v>
      </c>
      <c r="C34" s="10" t="n">
        <v>21</v>
      </c>
      <c r="D34" s="16">
        <f>(A34+B34)/2</f>
        <v/>
      </c>
      <c r="E34" s="16">
        <f>B34-A34</f>
        <v/>
      </c>
      <c r="F34" s="16">
        <f>C34/E34</f>
        <v/>
      </c>
      <c r="G34" s="16">
        <f>D34*C34</f>
        <v/>
      </c>
      <c r="H34" s="16">
        <f>D34^2*C34</f>
        <v/>
      </c>
      <c r="I34" s="16">
        <f>I33+C34</f>
        <v/>
      </c>
    </row>
    <row r="35">
      <c r="A35" s="10" t="n">
        <v>90</v>
      </c>
      <c r="B35" s="10" t="n">
        <v>120</v>
      </c>
      <c r="C35" s="10" t="n">
        <v>48</v>
      </c>
      <c r="D35" s="16">
        <f>(A35+B35)/2</f>
        <v/>
      </c>
      <c r="E35" s="16">
        <f>B35-A35</f>
        <v/>
      </c>
      <c r="F35" s="16">
        <f>C35/E35</f>
        <v/>
      </c>
      <c r="G35" s="16">
        <f>D35*C35</f>
        <v/>
      </c>
      <c r="H35" s="16">
        <f>D35^2*C35</f>
        <v/>
      </c>
      <c r="I35" s="16">
        <f>I34+C35</f>
        <v/>
      </c>
    </row>
    <row r="36">
      <c r="A36" s="10" t="n">
        <v>120</v>
      </c>
      <c r="B36" s="10" t="n">
        <v>180</v>
      </c>
      <c r="C36" s="10" t="n">
        <v>49</v>
      </c>
      <c r="D36" s="16">
        <f>(A36+B36)/2</f>
        <v/>
      </c>
      <c r="E36" s="16">
        <f>B36-A36</f>
        <v/>
      </c>
      <c r="F36" s="16">
        <f>C36/E36</f>
        <v/>
      </c>
      <c r="G36" s="16">
        <f>D36*C36</f>
        <v/>
      </c>
      <c r="H36" s="16">
        <f>D36^2*C36</f>
        <v/>
      </c>
      <c r="I36" s="16">
        <f>I35+C36</f>
        <v/>
      </c>
    </row>
    <row r="37">
      <c r="A37" s="10" t="n">
        <v>180</v>
      </c>
      <c r="B37" s="10" t="n">
        <v>300</v>
      </c>
      <c r="C37" s="10" t="n">
        <v>17</v>
      </c>
      <c r="D37" s="16">
        <f>(A37+B37)/2</f>
        <v/>
      </c>
      <c r="E37" s="16">
        <f>B37-A37</f>
        <v/>
      </c>
      <c r="F37" s="16">
        <f>C37/E37</f>
        <v/>
      </c>
      <c r="G37" s="16">
        <f>D37*C37</f>
        <v/>
      </c>
      <c r="H37" s="16">
        <f>D37^2*C37</f>
        <v/>
      </c>
      <c r="I37" s="16">
        <f>I36+C37</f>
        <v/>
      </c>
    </row>
    <row r="38">
      <c r="A38" s="2" t="inlineStr">
        <is>
          <t>Total</t>
        </is>
      </c>
      <c r="C38" s="17">
        <f>SUM(C33:C37)</f>
        <v/>
      </c>
      <c r="G38" s="17">
        <f>SUM(G33:G37)</f>
        <v/>
      </c>
      <c r="H38" s="17">
        <f>SUM(H33:H37)</f>
        <v/>
      </c>
    </row>
    <row r="39"/>
    <row r="40">
      <c r="A40" s="2" t="inlineStr">
        <is>
          <t>Mediana</t>
        </is>
      </c>
      <c r="B40" s="7">
        <f>A35+(0.5*C38-I34)/C35*E35</f>
        <v/>
      </c>
      <c r="C40" s="8" t="inlineStr">
        <is>
          <t>→ =A35+(0,5*C38-I34)/C35*E35</t>
        </is>
      </c>
      <c r="F40" s="5" t="inlineStr">
        <is>
          <t>Intervalo de la fila 35</t>
        </is>
      </c>
    </row>
    <row r="41">
      <c r="A41" s="2" t="inlineStr">
        <is>
          <t>Moda (intervalos)</t>
        </is>
      </c>
      <c r="B41" s="7">
        <f>A35+(F35-F34)/((F35-F34)+(F35-F36))*E35</f>
        <v/>
      </c>
      <c r="C41" s="8" t="inlineStr">
        <is>
          <t>→ =A35+(F35-F34)/((F35-F34)+(F35-F36))*E35</t>
        </is>
      </c>
      <c r="F41" s="5" t="inlineStr">
        <is>
          <t>Intervalo modal: fila 35 (mayor densidad)</t>
        </is>
      </c>
    </row>
    <row r="42">
      <c r="A42" s="14" t="inlineStr">
        <is>
          <t>Norte (A Coruña + Lugo)</t>
        </is>
      </c>
    </row>
    <row r="43">
      <c r="A43" s="15" t="inlineStr">
        <is>
          <t>L inf</t>
        </is>
      </c>
      <c r="B43" s="15" t="inlineStr">
        <is>
          <t>L sup</t>
        </is>
      </c>
      <c r="C43" s="15" t="inlineStr">
        <is>
          <t>nᵢ</t>
        </is>
      </c>
      <c r="D43" s="15" t="inlineStr">
        <is>
          <t>Marca xᵢ</t>
        </is>
      </c>
      <c r="E43" s="15" t="inlineStr">
        <is>
          <t>Amplitud aᵢ</t>
        </is>
      </c>
      <c r="F43" s="15" t="inlineStr">
        <is>
          <t>Densidad dᵢ</t>
        </is>
      </c>
      <c r="G43" s="15" t="inlineStr">
        <is>
          <t>xᵢ·nᵢ</t>
        </is>
      </c>
      <c r="H43" s="15" t="inlineStr">
        <is>
          <t>xᵢ²·nᵢ</t>
        </is>
      </c>
      <c r="I43" s="15" t="inlineStr">
        <is>
          <t>Nᵢ (acum.)</t>
        </is>
      </c>
    </row>
    <row r="44">
      <c r="A44" s="10" t="n">
        <v>0</v>
      </c>
      <c r="B44" s="10" t="n">
        <v>60</v>
      </c>
      <c r="C44" s="10" t="n">
        <v>6</v>
      </c>
      <c r="D44" s="16">
        <f>(A44+B44)/2</f>
        <v/>
      </c>
      <c r="E44" s="16">
        <f>B44-A44</f>
        <v/>
      </c>
      <c r="F44" s="16">
        <f>C44/E44</f>
        <v/>
      </c>
      <c r="G44" s="16">
        <f>D44*C44</f>
        <v/>
      </c>
      <c r="H44" s="16">
        <f>D44^2*C44</f>
        <v/>
      </c>
      <c r="I44" s="16">
        <f>C44</f>
        <v/>
      </c>
    </row>
    <row r="45">
      <c r="A45" s="10" t="n">
        <v>60</v>
      </c>
      <c r="B45" s="10" t="n">
        <v>90</v>
      </c>
      <c r="C45" s="10" t="n">
        <v>10</v>
      </c>
      <c r="D45" s="16">
        <f>(A45+B45)/2</f>
        <v/>
      </c>
      <c r="E45" s="16">
        <f>B45-A45</f>
        <v/>
      </c>
      <c r="F45" s="16">
        <f>C45/E45</f>
        <v/>
      </c>
      <c r="G45" s="16">
        <f>D45*C45</f>
        <v/>
      </c>
      <c r="H45" s="16">
        <f>D45^2*C45</f>
        <v/>
      </c>
      <c r="I45" s="16">
        <f>I44+C45</f>
        <v/>
      </c>
    </row>
    <row r="46">
      <c r="A46" s="10" t="n">
        <v>90</v>
      </c>
      <c r="B46" s="10" t="n">
        <v>120</v>
      </c>
      <c r="C46" s="10" t="n">
        <v>16</v>
      </c>
      <c r="D46" s="16">
        <f>(A46+B46)/2</f>
        <v/>
      </c>
      <c r="E46" s="16">
        <f>B46-A46</f>
        <v/>
      </c>
      <c r="F46" s="16">
        <f>C46/E46</f>
        <v/>
      </c>
      <c r="G46" s="16">
        <f>D46*C46</f>
        <v/>
      </c>
      <c r="H46" s="16">
        <f>D46^2*C46</f>
        <v/>
      </c>
      <c r="I46" s="16">
        <f>I45+C46</f>
        <v/>
      </c>
    </row>
    <row r="47">
      <c r="A47" s="10" t="n">
        <v>120</v>
      </c>
      <c r="B47" s="10" t="n">
        <v>180</v>
      </c>
      <c r="C47" s="10" t="n">
        <v>35</v>
      </c>
      <c r="D47" s="16">
        <f>(A47+B47)/2</f>
        <v/>
      </c>
      <c r="E47" s="16">
        <f>B47-A47</f>
        <v/>
      </c>
      <c r="F47" s="16">
        <f>C47/E47</f>
        <v/>
      </c>
      <c r="G47" s="16">
        <f>D47*C47</f>
        <v/>
      </c>
      <c r="H47" s="16">
        <f>D47^2*C47</f>
        <v/>
      </c>
      <c r="I47" s="16">
        <f>I46+C47</f>
        <v/>
      </c>
    </row>
    <row r="48">
      <c r="A48" s="10" t="n">
        <v>180</v>
      </c>
      <c r="B48" s="10" t="n">
        <v>300</v>
      </c>
      <c r="C48" s="10" t="n">
        <v>12</v>
      </c>
      <c r="D48" s="16">
        <f>(A48+B48)/2</f>
        <v/>
      </c>
      <c r="E48" s="16">
        <f>B48-A48</f>
        <v/>
      </c>
      <c r="F48" s="16">
        <f>C48/E48</f>
        <v/>
      </c>
      <c r="G48" s="16">
        <f>D48*C48</f>
        <v/>
      </c>
      <c r="H48" s="16">
        <f>D48^2*C48</f>
        <v/>
      </c>
      <c r="I48" s="16">
        <f>I47+C48</f>
        <v/>
      </c>
    </row>
    <row r="49">
      <c r="A49" s="2" t="inlineStr">
        <is>
          <t>Total</t>
        </is>
      </c>
      <c r="C49" s="17">
        <f>SUM(C44:C48)</f>
        <v/>
      </c>
      <c r="G49" s="17">
        <f>SUM(G44:G48)</f>
        <v/>
      </c>
      <c r="H49" s="17">
        <f>SUM(H44:H48)</f>
        <v/>
      </c>
    </row>
    <row r="50"/>
    <row r="51">
      <c r="A51" s="2" t="inlineStr">
        <is>
          <t>Media</t>
        </is>
      </c>
      <c r="B51" s="7">
        <f>G49/C49</f>
        <v/>
      </c>
      <c r="C51" s="8" t="inlineStr">
        <is>
          <t>→ =G49/C49</t>
        </is>
      </c>
    </row>
    <row r="52">
      <c r="A52" s="2" t="inlineStr">
        <is>
          <t>Varianza S²</t>
        </is>
      </c>
      <c r="B52" s="7">
        <f>H49/C49-B51^2</f>
        <v/>
      </c>
      <c r="C52" s="8" t="inlineStr">
        <is>
          <t>→ =H49/C49-B51^2</t>
        </is>
      </c>
    </row>
    <row r="53">
      <c r="A53" s="2" t="inlineStr">
        <is>
          <t>Desviación típica S</t>
        </is>
      </c>
      <c r="B53" s="7">
        <f>SQRT(B52)</f>
        <v/>
      </c>
      <c r="C53" s="8" t="inlineStr">
        <is>
          <t>→ =RAIZ(B52)</t>
        </is>
      </c>
    </row>
    <row r="54">
      <c r="A54" s="2" t="inlineStr">
        <is>
          <t>Coef. de variación CV</t>
        </is>
      </c>
      <c r="B54" s="7">
        <f>B53/B51</f>
        <v/>
      </c>
      <c r="C54" s="8" t="inlineStr">
        <is>
          <t>→ =B53/B51</t>
        </is>
      </c>
    </row>
    <row r="55">
      <c r="A55" s="14" t="inlineStr">
        <is>
          <t>Sur (Ourense + Pontevedra)</t>
        </is>
      </c>
    </row>
    <row r="56">
      <c r="A56" s="15" t="inlineStr">
        <is>
          <t>L inf</t>
        </is>
      </c>
      <c r="B56" s="15" t="inlineStr">
        <is>
          <t>L sup</t>
        </is>
      </c>
      <c r="C56" s="15" t="inlineStr">
        <is>
          <t>nᵢ</t>
        </is>
      </c>
      <c r="D56" s="15" t="inlineStr">
        <is>
          <t>Marca xᵢ</t>
        </is>
      </c>
      <c r="E56" s="15" t="inlineStr">
        <is>
          <t>Amplitud aᵢ</t>
        </is>
      </c>
      <c r="F56" s="15" t="inlineStr">
        <is>
          <t>Densidad dᵢ</t>
        </is>
      </c>
      <c r="G56" s="15" t="inlineStr">
        <is>
          <t>xᵢ·nᵢ</t>
        </is>
      </c>
      <c r="H56" s="15" t="inlineStr">
        <is>
          <t>xᵢ²·nᵢ</t>
        </is>
      </c>
      <c r="I56" s="15" t="inlineStr">
        <is>
          <t>Nᵢ (acum.)</t>
        </is>
      </c>
    </row>
    <row r="57">
      <c r="A57" s="10" t="n">
        <v>0</v>
      </c>
      <c r="B57" s="10" t="n">
        <v>60</v>
      </c>
      <c r="C57" s="10" t="n">
        <v>9</v>
      </c>
      <c r="D57" s="16">
        <f>(A57+B57)/2</f>
        <v/>
      </c>
      <c r="E57" s="16">
        <f>B57-A57</f>
        <v/>
      </c>
      <c r="F57" s="16">
        <f>C57/E57</f>
        <v/>
      </c>
      <c r="G57" s="16">
        <f>D57*C57</f>
        <v/>
      </c>
      <c r="H57" s="16">
        <f>D57^2*C57</f>
        <v/>
      </c>
      <c r="I57" s="16">
        <f>C57</f>
        <v/>
      </c>
    </row>
    <row r="58">
      <c r="A58" s="10" t="n">
        <v>60</v>
      </c>
      <c r="B58" s="10" t="n">
        <v>90</v>
      </c>
      <c r="C58" s="10" t="n">
        <v>11</v>
      </c>
      <c r="D58" s="16">
        <f>(A58+B58)/2</f>
        <v/>
      </c>
      <c r="E58" s="16">
        <f>B58-A58</f>
        <v/>
      </c>
      <c r="F58" s="16">
        <f>C58/E58</f>
        <v/>
      </c>
      <c r="G58" s="16">
        <f>D58*C58</f>
        <v/>
      </c>
      <c r="H58" s="16">
        <f>D58^2*C58</f>
        <v/>
      </c>
      <c r="I58" s="16">
        <f>I57+C58</f>
        <v/>
      </c>
    </row>
    <row r="59">
      <c r="A59" s="10" t="n">
        <v>90</v>
      </c>
      <c r="B59" s="10" t="n">
        <v>120</v>
      </c>
      <c r="C59" s="10" t="n">
        <v>32</v>
      </c>
      <c r="D59" s="16">
        <f>(A59+B59)/2</f>
        <v/>
      </c>
      <c r="E59" s="16">
        <f>B59-A59</f>
        <v/>
      </c>
      <c r="F59" s="16">
        <f>C59/E59</f>
        <v/>
      </c>
      <c r="G59" s="16">
        <f>D59*C59</f>
        <v/>
      </c>
      <c r="H59" s="16">
        <f>D59^2*C59</f>
        <v/>
      </c>
      <c r="I59" s="16">
        <f>I58+C59</f>
        <v/>
      </c>
    </row>
    <row r="60">
      <c r="A60" s="10" t="n">
        <v>120</v>
      </c>
      <c r="B60" s="10" t="n">
        <v>180</v>
      </c>
      <c r="C60" s="10" t="n">
        <v>14</v>
      </c>
      <c r="D60" s="16">
        <f>(A60+B60)/2</f>
        <v/>
      </c>
      <c r="E60" s="16">
        <f>B60-A60</f>
        <v/>
      </c>
      <c r="F60" s="16">
        <f>C60/E60</f>
        <v/>
      </c>
      <c r="G60" s="16">
        <f>D60*C60</f>
        <v/>
      </c>
      <c r="H60" s="16">
        <f>D60^2*C60</f>
        <v/>
      </c>
      <c r="I60" s="16">
        <f>I59+C60</f>
        <v/>
      </c>
    </row>
    <row r="61">
      <c r="A61" s="10" t="n">
        <v>180</v>
      </c>
      <c r="B61" s="10" t="n">
        <v>300</v>
      </c>
      <c r="C61" s="10" t="n">
        <v>5</v>
      </c>
      <c r="D61" s="16">
        <f>(A61+B61)/2</f>
        <v/>
      </c>
      <c r="E61" s="16">
        <f>B61-A61</f>
        <v/>
      </c>
      <c r="F61" s="16">
        <f>C61/E61</f>
        <v/>
      </c>
      <c r="G61" s="16">
        <f>D61*C61</f>
        <v/>
      </c>
      <c r="H61" s="16">
        <f>D61^2*C61</f>
        <v/>
      </c>
      <c r="I61" s="16">
        <f>I60+C61</f>
        <v/>
      </c>
    </row>
    <row r="62">
      <c r="A62" s="2" t="inlineStr">
        <is>
          <t>Total</t>
        </is>
      </c>
      <c r="C62" s="17">
        <f>SUM(C57:C61)</f>
        <v/>
      </c>
      <c r="G62" s="17">
        <f>SUM(G57:G61)</f>
        <v/>
      </c>
      <c r="H62" s="17">
        <f>SUM(H57:H61)</f>
        <v/>
      </c>
    </row>
    <row r="63"/>
    <row r="64">
      <c r="A64" s="2" t="inlineStr">
        <is>
          <t>Media</t>
        </is>
      </c>
      <c r="B64" s="7">
        <f>G62/C62</f>
        <v/>
      </c>
      <c r="C64" s="8" t="inlineStr">
        <is>
          <t>→ =G62/C62</t>
        </is>
      </c>
    </row>
    <row r="65">
      <c r="A65" s="2" t="inlineStr">
        <is>
          <t>Varianza S²</t>
        </is>
      </c>
      <c r="B65" s="7">
        <f>H62/C62-B64^2</f>
        <v/>
      </c>
      <c r="C65" s="8" t="inlineStr">
        <is>
          <t>→ =H62/C62-B64^2</t>
        </is>
      </c>
    </row>
    <row r="66">
      <c r="A66" s="2" t="inlineStr">
        <is>
          <t>Desviación típica S</t>
        </is>
      </c>
      <c r="B66" s="7">
        <f>SQRT(B65)</f>
        <v/>
      </c>
      <c r="C66" s="8" t="inlineStr">
        <is>
          <t>→ =RAIZ(B65)</t>
        </is>
      </c>
    </row>
    <row r="67">
      <c r="A67" s="2" t="inlineStr">
        <is>
          <t>Coef. de variación CV</t>
        </is>
      </c>
      <c r="B67" s="7">
        <f>B66/B64</f>
        <v/>
      </c>
      <c r="C67" s="8" t="inlineStr">
        <is>
          <t>→ =B66/B64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18</t>
        </is>
      </c>
    </row>
    <row r="2">
      <c r="A2" s="5" t="inlineStr">
        <is>
          <t>Cinturón y gravedad de las heridas</t>
        </is>
      </c>
    </row>
    <row r="3"/>
    <row r="4">
      <c r="A4" s="14" t="inlineStr">
        <is>
          <t>Tabla</t>
        </is>
      </c>
    </row>
    <row r="5">
      <c r="A5" s="15" t="inlineStr"/>
      <c r="B5" s="15" t="inlineStr">
        <is>
          <t>Con cinturón</t>
        </is>
      </c>
      <c r="C5" s="15" t="inlineStr">
        <is>
          <t>Sin cinturón</t>
        </is>
      </c>
      <c r="D5" s="15" t="inlineStr">
        <is>
          <t>Total</t>
        </is>
      </c>
    </row>
    <row r="6">
      <c r="A6" s="11" t="inlineStr">
        <is>
          <t>Grave</t>
        </is>
      </c>
      <c r="B6" s="10" t="n">
        <v>5244</v>
      </c>
      <c r="C6" s="10" t="n">
        <v>2730</v>
      </c>
      <c r="D6" s="11">
        <f>SUM(B6:C6)</f>
        <v/>
      </c>
    </row>
    <row r="7">
      <c r="A7" s="11" t="inlineStr">
        <is>
          <t>Leve</t>
        </is>
      </c>
      <c r="B7" s="10" t="n">
        <v>24351</v>
      </c>
      <c r="C7" s="10" t="n">
        <v>6412</v>
      </c>
      <c r="D7" s="11">
        <f>SUM(B7:C7)</f>
        <v/>
      </c>
    </row>
    <row r="8">
      <c r="A8" s="2" t="inlineStr">
        <is>
          <t>Total</t>
        </is>
      </c>
      <c r="B8">
        <f>SUM(B6:B7)</f>
        <v/>
      </c>
      <c r="C8">
        <f>SUM(C6:C7)</f>
        <v/>
      </c>
      <c r="D8">
        <f>SUM(D6:D7)</f>
        <v/>
      </c>
    </row>
    <row r="9"/>
    <row r="10">
      <c r="A10" s="21" t="inlineStr">
        <is>
          <t>Frecuencias relativas conjuntas fᵢⱼ = nᵢⱼ / n</t>
        </is>
      </c>
    </row>
    <row r="11">
      <c r="A11" s="15" t="inlineStr"/>
      <c r="B11" s="15" t="inlineStr">
        <is>
          <t>Con cinturón</t>
        </is>
      </c>
      <c r="C11" s="15" t="inlineStr">
        <is>
          <t>Sin cinturón</t>
        </is>
      </c>
      <c r="D11" s="15" t="inlineStr">
        <is>
          <t>fᵢ.</t>
        </is>
      </c>
    </row>
    <row r="12">
      <c r="A12" s="11" t="inlineStr">
        <is>
          <t>Grave</t>
        </is>
      </c>
      <c r="B12" s="16">
        <f>B6/$D$8</f>
        <v/>
      </c>
      <c r="C12" s="16">
        <f>C6/$D$8</f>
        <v/>
      </c>
      <c r="D12" s="16">
        <f>D6/$D$8</f>
        <v/>
      </c>
    </row>
    <row r="13">
      <c r="A13" s="11" t="inlineStr">
        <is>
          <t>Leve</t>
        </is>
      </c>
      <c r="B13" s="16">
        <f>B7/$D$8</f>
        <v/>
      </c>
      <c r="C13" s="16">
        <f>C7/$D$8</f>
        <v/>
      </c>
      <c r="D13" s="16">
        <f>D7/$D$8</f>
        <v/>
      </c>
    </row>
    <row r="14">
      <c r="A14" s="2" t="inlineStr">
        <is>
          <t>f.ⱼ</t>
        </is>
      </c>
      <c r="B14">
        <f>SUM(B12:B13)</f>
        <v/>
      </c>
      <c r="C14">
        <f>SUM(C12:C13)</f>
        <v/>
      </c>
      <c r="D14">
        <f>SUM(D12:D13)</f>
        <v/>
      </c>
    </row>
    <row r="15"/>
    <row r="16">
      <c r="A16" s="21" t="inlineStr">
        <is>
          <t>Si fueran independientes: fᵢ. × f.ⱼ  (compara casilla a casilla con la tabla de arriba)</t>
        </is>
      </c>
    </row>
    <row r="17">
      <c r="A17" s="15" t="inlineStr"/>
      <c r="B17" s="15" t="inlineStr">
        <is>
          <t>Con cinturón</t>
        </is>
      </c>
      <c r="C17" s="15" t="inlineStr">
        <is>
          <t>Sin cinturón</t>
        </is>
      </c>
    </row>
    <row r="18">
      <c r="A18" s="11" t="inlineStr">
        <is>
          <t>Grave</t>
        </is>
      </c>
      <c r="B18" s="16">
        <f>$D12*B$14</f>
        <v/>
      </c>
      <c r="C18" s="16">
        <f>$D12*C$14</f>
        <v/>
      </c>
    </row>
    <row r="19">
      <c r="A19" s="11" t="inlineStr">
        <is>
          <t>Leve</t>
        </is>
      </c>
      <c r="B19" s="16">
        <f>$D13*B$14</f>
        <v/>
      </c>
      <c r="C19" s="16">
        <f>$D13*C$14</f>
        <v/>
      </c>
    </row>
    <row r="20"/>
    <row r="21">
      <c r="A21" s="21" t="inlineStr">
        <is>
          <t>Distribuciones condicionadas por filas (% de cada fila)</t>
        </is>
      </c>
    </row>
    <row r="22">
      <c r="A22" s="15" t="inlineStr"/>
      <c r="B22" s="15" t="inlineStr">
        <is>
          <t>Con cinturón</t>
        </is>
      </c>
      <c r="C22" s="15" t="inlineStr">
        <is>
          <t>Sin cinturón</t>
        </is>
      </c>
    </row>
    <row r="23">
      <c r="A23" s="11" t="inlineStr">
        <is>
          <t>Grave</t>
        </is>
      </c>
      <c r="B23" s="22">
        <f>B6/$D6</f>
        <v/>
      </c>
      <c r="C23" s="22">
        <f>C6/$D6</f>
        <v/>
      </c>
    </row>
    <row r="24">
      <c r="A24" s="11" t="inlineStr">
        <is>
          <t>Leve</t>
        </is>
      </c>
      <c r="B24" s="22">
        <f>B7/$D7</f>
        <v/>
      </c>
      <c r="C24" s="22">
        <f>C7/$D7</f>
        <v/>
      </c>
    </row>
    <row r="25"/>
    <row r="26">
      <c r="A26" s="21" t="inlineStr">
        <is>
          <t>X | Con cinturón: grave 17,7 %, leve 82,3 %. Y | Leve: con 79,2 %, sin 20,8 %. No independientes.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21</t>
        </is>
      </c>
    </row>
    <row r="2">
      <c r="A2" s="5" t="inlineStr">
        <is>
          <t>Desigualdad salarial mujeres/hombres</t>
        </is>
      </c>
    </row>
    <row r="3"/>
    <row r="4">
      <c r="A4" s="15" t="inlineStr">
        <is>
          <t>Grupo</t>
        </is>
      </c>
      <c r="B4" s="15" t="inlineStr">
        <is>
          <t>n</t>
        </is>
      </c>
      <c r="C4" s="15" t="inlineStr">
        <is>
          <t>Media</t>
        </is>
      </c>
      <c r="D4" s="15" t="inlineStr">
        <is>
          <t>Varianza</t>
        </is>
      </c>
      <c r="E4" s="15" t="inlineStr">
        <is>
          <t>CV</t>
        </is>
      </c>
      <c r="F4" s="15" t="inlineStr">
        <is>
          <t>(media−global)²·n</t>
        </is>
      </c>
    </row>
    <row r="5">
      <c r="A5" s="11" t="inlineStr">
        <is>
          <t>Mujeres</t>
        </is>
      </c>
      <c r="B5" s="10" t="n">
        <v>5</v>
      </c>
      <c r="C5" s="10" t="n">
        <v>2240</v>
      </c>
      <c r="D5" s="10" t="n">
        <v>34400</v>
      </c>
      <c r="E5" s="16">
        <f>SQRT(D5)/C5</f>
        <v/>
      </c>
      <c r="F5" s="11">
        <f>(C5-$B$7)^2*B5</f>
        <v/>
      </c>
    </row>
    <row r="6">
      <c r="A6" s="11" t="inlineStr">
        <is>
          <t>Hombres</t>
        </is>
      </c>
      <c r="B6" s="10" t="n">
        <v>5</v>
      </c>
      <c r="C6" s="10" t="n">
        <v>2860</v>
      </c>
      <c r="D6" s="10" t="n">
        <v>46400</v>
      </c>
      <c r="E6" s="16">
        <f>SQRT(D6)/C6</f>
        <v/>
      </c>
      <c r="F6" s="11">
        <f>(C6-$B$7)^2*B6</f>
        <v/>
      </c>
    </row>
    <row r="7">
      <c r="A7" s="2" t="inlineStr">
        <is>
          <t>Media global</t>
        </is>
      </c>
      <c r="B7" s="18">
        <f>SUMPRODUCT(B5:B6,C5:C6)/SUM(B5:B6)</f>
        <v/>
      </c>
      <c r="C7" s="8" t="inlineStr">
        <is>
          <t>→ =SUMAPRODUCTO(B5:B6;C5:C6)/SUMA(B5:B6)</t>
        </is>
      </c>
    </row>
    <row r="8">
      <c r="A8" s="2" t="inlineStr">
        <is>
          <t>Varianza dentro</t>
        </is>
      </c>
      <c r="B8" s="18">
        <f>SUMPRODUCT(B5:B6,D5:D6)/SUM(B5:B6)</f>
        <v/>
      </c>
      <c r="C8" s="8" t="inlineStr">
        <is>
          <t>→ =SUMAPRODUCTO(B5:B6;D5:D6)/SUMA(B5:B6)</t>
        </is>
      </c>
    </row>
    <row r="9">
      <c r="A9" s="2" t="inlineStr">
        <is>
          <t>Varianza entre</t>
        </is>
      </c>
      <c r="B9" s="18">
        <f>SUM(F5:F6)/SUM(B5:B6)</f>
        <v/>
      </c>
      <c r="C9" s="8" t="inlineStr">
        <is>
          <t>→ =SUMA(F5:F6)/SUMA(B5:B6)</t>
        </is>
      </c>
    </row>
    <row r="10">
      <c r="A10" s="2" t="inlineStr">
        <is>
          <t>Varianza total</t>
        </is>
      </c>
      <c r="B10" s="18">
        <f>B8+B9</f>
        <v/>
      </c>
      <c r="C10" s="8" t="inlineStr">
        <is>
          <t>→ =B8+B9</t>
        </is>
      </c>
    </row>
    <row r="11">
      <c r="A11" s="2" t="inlineStr">
        <is>
          <t>% debido a diferencias entre grupos</t>
        </is>
      </c>
      <c r="B11" s="20">
        <f>B9/B10</f>
        <v/>
      </c>
      <c r="C11" s="8" t="inlineStr">
        <is>
          <t>→ =B9/B10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Temas 1-2 · Ejercicio 22</t>
        </is>
      </c>
    </row>
    <row r="2">
      <c r="A2" s="5" t="inlineStr">
        <is>
          <t>Cuatro propuestas salariales (media 2550, varianza 136500)</t>
        </is>
      </c>
    </row>
    <row r="3"/>
    <row r="4">
      <c r="A4" s="15" t="inlineStr">
        <is>
          <t>Propuesta</t>
        </is>
      </c>
      <c r="B4" s="15" t="inlineStr">
        <is>
          <t>a (multiplica)</t>
        </is>
      </c>
      <c r="C4" s="15" t="inlineStr">
        <is>
          <t>b (suma)</t>
        </is>
      </c>
      <c r="D4" s="15" t="inlineStr">
        <is>
          <t>Media</t>
        </is>
      </c>
      <c r="E4" s="15" t="inlineStr">
        <is>
          <t>Varianza</t>
        </is>
      </c>
    </row>
    <row r="5">
      <c r="A5" s="11" t="inlineStr">
        <is>
          <t>I: +50 €</t>
        </is>
      </c>
      <c r="B5" s="10" t="n">
        <v>1</v>
      </c>
      <c r="C5" s="10" t="n">
        <v>50</v>
      </c>
      <c r="D5" s="26">
        <f>B5*2550+C5</f>
        <v/>
      </c>
      <c r="E5" s="26">
        <f>B5^2*136500</f>
        <v/>
      </c>
    </row>
    <row r="6">
      <c r="A6" s="11" t="inlineStr">
        <is>
          <t>II: +2 %</t>
        </is>
      </c>
      <c r="B6" s="10" t="n">
        <v>1.02</v>
      </c>
      <c r="C6" s="10" t="n">
        <v>0</v>
      </c>
      <c r="D6" s="26">
        <f>B6*2550+C6</f>
        <v/>
      </c>
      <c r="E6" s="26">
        <f>B6^2*136500</f>
        <v/>
      </c>
    </row>
    <row r="7">
      <c r="A7" s="11" t="inlineStr">
        <is>
          <t>III: −1 %</t>
        </is>
      </c>
      <c r="B7" s="10" t="n">
        <v>0.99</v>
      </c>
      <c r="C7" s="10" t="n">
        <v>0</v>
      </c>
      <c r="D7" s="26">
        <f>B7*2550+C7</f>
        <v/>
      </c>
      <c r="E7" s="26">
        <f>B7^2*136500</f>
        <v/>
      </c>
    </row>
    <row r="8">
      <c r="A8" s="11" t="inlineStr">
        <is>
          <t>IV: +1 % y +25 €</t>
        </is>
      </c>
      <c r="B8" s="10" t="n">
        <v>1.01</v>
      </c>
      <c r="C8" s="10" t="n">
        <v>25</v>
      </c>
      <c r="D8" s="26">
        <f>B8*2550+C8</f>
        <v/>
      </c>
      <c r="E8" s="26">
        <f>B8^2*136500</f>
        <v/>
      </c>
    </row>
    <row r="9">
      <c r="A9" s="21" t="inlineStr">
        <is>
          <t>Fórmulas: media = a·2550 + b · varianza = a²·136500.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2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3 · Ejercicios 1, 2 y 4 (sin datos sueltos)</t>
        </is>
      </c>
    </row>
    <row r="2">
      <c r="A2" s="5" t="inlineStr">
        <is>
          <t>Se trabaja con los resúmenes del enunciado</t>
        </is>
      </c>
    </row>
    <row r="3"/>
    <row r="4">
      <c r="A4" s="14" t="inlineStr">
        <is>
          <t>Ejercicio 1</t>
        </is>
      </c>
    </row>
    <row r="5">
      <c r="A5" t="inlineStr">
        <is>
          <t>x̄</t>
        </is>
      </c>
      <c r="B5" s="9" t="n">
        <v>60</v>
      </c>
    </row>
    <row r="6">
      <c r="A6" t="inlineStr">
        <is>
          <t>ȳ</t>
        </is>
      </c>
      <c r="B6" s="9" t="n">
        <v>850</v>
      </c>
    </row>
    <row r="7">
      <c r="A7" t="inlineStr">
        <is>
          <t>Sx</t>
        </is>
      </c>
      <c r="B7" s="9" t="n">
        <v>40</v>
      </c>
    </row>
    <row r="8">
      <c r="A8" t="inlineStr">
        <is>
          <t>Sy</t>
        </is>
      </c>
      <c r="B8" s="9" t="n">
        <v>500</v>
      </c>
    </row>
    <row r="9">
      <c r="A9" t="inlineStr">
        <is>
          <t>Sxy</t>
        </is>
      </c>
      <c r="B9" s="9" t="n">
        <v>19200</v>
      </c>
    </row>
    <row r="10">
      <c r="A10" s="2" t="inlineStr">
        <is>
          <t>b = Sxy / Sx²</t>
        </is>
      </c>
      <c r="B10" s="7">
        <f>B9/B7^2</f>
        <v/>
      </c>
      <c r="C10" s="8" t="inlineStr">
        <is>
          <t>→ =B9/B7^2</t>
        </is>
      </c>
    </row>
    <row r="11">
      <c r="A11" s="2" t="inlineStr">
        <is>
          <t>a = ȳ − b·x̄</t>
        </is>
      </c>
      <c r="B11" s="7">
        <f>B6-B10*B5</f>
        <v/>
      </c>
      <c r="C11" s="8" t="inlineStr">
        <is>
          <t>→ =B6-B10*B5</t>
        </is>
      </c>
    </row>
    <row r="12">
      <c r="A12" s="2" t="inlineStr">
        <is>
          <t>R²</t>
        </is>
      </c>
      <c r="B12" s="7">
        <f>(B9/(B7*B8))^2</f>
        <v/>
      </c>
      <c r="C12" s="8" t="inlineStr">
        <is>
          <t>→ =(B9/(B7*B8))^2</t>
        </is>
      </c>
    </row>
    <row r="13">
      <c r="A13" s="2" t="inlineStr">
        <is>
          <t>Ventas con X = 100</t>
        </is>
      </c>
      <c r="B13" s="18">
        <f>B11+B10*100</f>
        <v/>
      </c>
      <c r="C13" s="8" t="inlineStr">
        <is>
          <t>→ =B11+B10*100</t>
        </is>
      </c>
    </row>
    <row r="14"/>
    <row r="15">
      <c r="A15" s="14" t="inlineStr">
        <is>
          <t>Ejercicio 2 (sumatorios, n = 25)</t>
        </is>
      </c>
    </row>
    <row r="16">
      <c r="A16" t="inlineStr">
        <is>
          <t>n</t>
        </is>
      </c>
      <c r="B16" s="9" t="n">
        <v>25</v>
      </c>
    </row>
    <row r="17">
      <c r="A17" t="inlineStr">
        <is>
          <t>ΣY</t>
        </is>
      </c>
      <c r="B17" s="9" t="n">
        <v>22.6</v>
      </c>
    </row>
    <row r="18">
      <c r="A18" t="inlineStr">
        <is>
          <t>ΣX</t>
        </is>
      </c>
      <c r="B18" s="9" t="n">
        <v>25.4</v>
      </c>
    </row>
    <row r="19">
      <c r="A19" t="inlineStr">
        <is>
          <t>ΣY²</t>
        </is>
      </c>
      <c r="B19" s="9" t="n">
        <v>172</v>
      </c>
    </row>
    <row r="20">
      <c r="A20" t="inlineStr">
        <is>
          <t>ΣX²</t>
        </is>
      </c>
      <c r="B20" s="9" t="n">
        <v>145.7</v>
      </c>
    </row>
    <row r="21">
      <c r="A21" t="inlineStr">
        <is>
          <t>ΣXY</t>
        </is>
      </c>
      <c r="B21" s="9" t="n">
        <v>150.5</v>
      </c>
    </row>
    <row r="22">
      <c r="A22" s="2" t="inlineStr">
        <is>
          <t>x̄</t>
        </is>
      </c>
      <c r="B22" s="7">
        <f>B18/B16</f>
        <v/>
      </c>
      <c r="C22" s="8" t="inlineStr">
        <is>
          <t>→ =B18/B16</t>
        </is>
      </c>
    </row>
    <row r="23">
      <c r="A23" s="2" t="inlineStr">
        <is>
          <t>ȳ</t>
        </is>
      </c>
      <c r="B23" s="7">
        <f>B17/B16</f>
        <v/>
      </c>
      <c r="C23" s="8" t="inlineStr">
        <is>
          <t>→ =B17/B16</t>
        </is>
      </c>
    </row>
    <row r="24">
      <c r="A24" s="2" t="inlineStr">
        <is>
          <t>Sx²</t>
        </is>
      </c>
      <c r="B24" s="7">
        <f>B20/B16-B22^2</f>
        <v/>
      </c>
      <c r="C24" s="8" t="inlineStr">
        <is>
          <t>→ =B20/B16-B22^2</t>
        </is>
      </c>
    </row>
    <row r="25">
      <c r="A25" s="2" t="inlineStr">
        <is>
          <t>Sy²</t>
        </is>
      </c>
      <c r="B25" s="7">
        <f>B19/B16-B23^2</f>
        <v/>
      </c>
      <c r="C25" s="8" t="inlineStr">
        <is>
          <t>→ =B19/B16-B23^2</t>
        </is>
      </c>
    </row>
    <row r="26">
      <c r="A26" s="2" t="inlineStr">
        <is>
          <t>Sxy</t>
        </is>
      </c>
      <c r="B26" s="7">
        <f>B21/B16-B22*B23</f>
        <v/>
      </c>
      <c r="C26" s="8" t="inlineStr">
        <is>
          <t>→ =B21/B16-B22*B23</t>
        </is>
      </c>
    </row>
    <row r="27">
      <c r="A27" s="2" t="inlineStr">
        <is>
          <t>b</t>
        </is>
      </c>
      <c r="B27" s="7">
        <f>B26/B24</f>
        <v/>
      </c>
      <c r="C27" s="8" t="inlineStr">
        <is>
          <t>→ =B26/B24</t>
        </is>
      </c>
    </row>
    <row r="28">
      <c r="A28" s="2" t="inlineStr">
        <is>
          <t>a</t>
        </is>
      </c>
      <c r="B28" s="7">
        <f>B23-B27*B22</f>
        <v/>
      </c>
      <c r="C28" s="8" t="inlineStr">
        <is>
          <t>→ =B23-B27*B22</t>
        </is>
      </c>
    </row>
    <row r="29">
      <c r="A29" s="2" t="inlineStr">
        <is>
          <t>R²</t>
        </is>
      </c>
      <c r="B29" s="7">
        <f>B26^2/(B24*B25)</f>
        <v/>
      </c>
      <c r="C29" s="8" t="inlineStr">
        <is>
          <t>→ =B26^2/(B24*B25)</t>
        </is>
      </c>
    </row>
    <row r="30">
      <c r="A30" s="2" t="inlineStr">
        <is>
          <t>Predicción X = 1,5</t>
        </is>
      </c>
      <c r="B30" s="7">
        <f>B28+B27*1.5</f>
        <v/>
      </c>
      <c r="C30" s="8" t="inlineStr">
        <is>
          <t>→ =B28+B27*1,5</t>
        </is>
      </c>
    </row>
    <row r="31"/>
    <row r="32">
      <c r="A32" s="14" t="inlineStr">
        <is>
          <t>Ejercicio 4</t>
        </is>
      </c>
    </row>
    <row r="33">
      <c r="A33" t="inlineStr">
        <is>
          <t>x̄</t>
        </is>
      </c>
      <c r="B33" s="9" t="n">
        <v>115</v>
      </c>
    </row>
    <row r="34">
      <c r="A34" t="inlineStr">
        <is>
          <t>ȳ</t>
        </is>
      </c>
      <c r="B34" s="9" t="n">
        <v>130</v>
      </c>
    </row>
    <row r="35">
      <c r="A35" t="inlineStr">
        <is>
          <t>Sx</t>
        </is>
      </c>
      <c r="B35" s="9" t="n">
        <v>20</v>
      </c>
    </row>
    <row r="36">
      <c r="A36" t="inlineStr">
        <is>
          <t>Sy</t>
        </is>
      </c>
      <c r="B36" s="9" t="n">
        <v>25</v>
      </c>
    </row>
    <row r="37">
      <c r="A37" t="inlineStr">
        <is>
          <t>Sxy</t>
        </is>
      </c>
      <c r="B37" s="9" t="n">
        <v>480</v>
      </c>
    </row>
    <row r="38">
      <c r="A38" s="2" t="inlineStr">
        <is>
          <t>b</t>
        </is>
      </c>
      <c r="B38" s="7">
        <f>B37/B35^2</f>
        <v/>
      </c>
      <c r="C38" s="8" t="inlineStr">
        <is>
          <t>→ =B37/B35^2</t>
        </is>
      </c>
    </row>
    <row r="39">
      <c r="A39" s="2" t="inlineStr">
        <is>
          <t>a</t>
        </is>
      </c>
      <c r="B39" s="7">
        <f>B34-B38*B33</f>
        <v/>
      </c>
      <c r="C39" s="8" t="inlineStr">
        <is>
          <t>→ =B34-B38*B33</t>
        </is>
      </c>
    </row>
    <row r="40">
      <c r="A40" s="2" t="inlineStr">
        <is>
          <t>r</t>
        </is>
      </c>
      <c r="B40" s="7">
        <f>B37/(B35*B36)</f>
        <v/>
      </c>
      <c r="C40" s="8" t="inlineStr">
        <is>
          <t>→ =B37/(B35*B36)</t>
        </is>
      </c>
    </row>
    <row r="41">
      <c r="A41" s="2" t="inlineStr">
        <is>
          <t>R²</t>
        </is>
      </c>
      <c r="B41" s="7">
        <f>B40^2</f>
        <v/>
      </c>
      <c r="C41" s="8" t="inlineStr">
        <is>
          <t>→ =B40^2</t>
        </is>
      </c>
    </row>
    <row r="42">
      <c r="A42" s="2" t="inlineStr">
        <is>
          <t>Precio si X = 100</t>
        </is>
      </c>
      <c r="B42" s="7">
        <f>B39+B38*100</f>
        <v/>
      </c>
      <c r="C42" s="8" t="inlineStr">
        <is>
          <t>→ =B39+B38*100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3 · Ejercicio 3: precio por hora y clientes</t>
        </is>
      </c>
    </row>
    <row r="2"/>
    <row r="3">
      <c r="A3" s="15" t="inlineStr">
        <is>
          <t>X</t>
        </is>
      </c>
      <c r="B3" s="15" t="inlineStr">
        <is>
          <t>Y</t>
        </is>
      </c>
    </row>
    <row r="4">
      <c r="A4" s="10" t="n">
        <v>20.4</v>
      </c>
      <c r="B4" s="10" t="n">
        <v>80</v>
      </c>
    </row>
    <row r="5">
      <c r="A5" s="10" t="n">
        <v>21.8</v>
      </c>
      <c r="B5" s="10" t="n">
        <v>64</v>
      </c>
    </row>
    <row r="6">
      <c r="A6" s="10" t="n">
        <v>22</v>
      </c>
      <c r="B6" s="10" t="n">
        <v>46</v>
      </c>
    </row>
    <row r="7">
      <c r="A7" s="10" t="n">
        <v>23</v>
      </c>
      <c r="B7" s="10" t="n">
        <v>50</v>
      </c>
    </row>
    <row r="8">
      <c r="A8" s="10" t="n">
        <v>23.6</v>
      </c>
      <c r="B8" s="10" t="n">
        <v>51</v>
      </c>
    </row>
    <row r="9"/>
    <row r="10">
      <c r="A10" s="2" t="inlineStr">
        <is>
          <t>Pendiente b</t>
        </is>
      </c>
      <c r="B10" s="7">
        <f>SLOPE(B4:B8,A4:A8)</f>
        <v/>
      </c>
      <c r="C10" s="8" t="inlineStr">
        <is>
          <t>→ =PENDIENTE(B4:B8;A4:A8)</t>
        </is>
      </c>
    </row>
    <row r="11">
      <c r="A11" s="2" t="inlineStr">
        <is>
          <t>a</t>
        </is>
      </c>
      <c r="B11" s="7">
        <f>INTERCEPT(B4:B8,A4:A8)</f>
        <v/>
      </c>
      <c r="C11" s="8" t="inlineStr">
        <is>
          <t>→ =INTERSECCION.EJE(B4:B8;A4:A8)</t>
        </is>
      </c>
    </row>
    <row r="12">
      <c r="A12" s="2" t="inlineStr">
        <is>
          <t>r</t>
        </is>
      </c>
      <c r="B12" s="7">
        <f>CORREL(A4:A8,B4:B8)</f>
        <v/>
      </c>
      <c r="C12" s="8" t="inlineStr">
        <is>
          <t>→ =COEF.DE.CORREL(A4:A8;B4:B8)</t>
        </is>
      </c>
    </row>
    <row r="13">
      <c r="A13" s="2" t="inlineStr">
        <is>
          <t>R²</t>
        </is>
      </c>
      <c r="B13" s="7">
        <f>RSQ(B4:B8,A4:A8)</f>
        <v/>
      </c>
      <c r="C13" s="8" t="inlineStr">
        <is>
          <t>→ =COEFICIENTE.R2(B4:B8;A4:A8)</t>
        </is>
      </c>
    </row>
    <row r="14">
      <c r="A14" s="2" t="inlineStr">
        <is>
          <t>1 − R² (no explicado)</t>
        </is>
      </c>
      <c r="B14" s="20">
        <f>1-B13</f>
        <v/>
      </c>
      <c r="C14" s="8" t="inlineStr">
        <is>
          <t>→ =1-B13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3 · Ejercicio 5: vertidos y sanciones</t>
        </is>
      </c>
    </row>
    <row r="2"/>
    <row r="3">
      <c r="A3" s="15" t="inlineStr">
        <is>
          <t>X</t>
        </is>
      </c>
      <c r="B3" s="15" t="inlineStr">
        <is>
          <t>Y</t>
        </is>
      </c>
    </row>
    <row r="4">
      <c r="A4" s="10" t="n">
        <v>0.5</v>
      </c>
      <c r="B4" s="10" t="n">
        <v>100</v>
      </c>
    </row>
    <row r="5">
      <c r="A5" s="10" t="n">
        <v>1</v>
      </c>
      <c r="B5" s="10" t="n">
        <v>300</v>
      </c>
    </row>
    <row r="6">
      <c r="A6" s="10" t="n">
        <v>1.5</v>
      </c>
      <c r="B6" s="10" t="n">
        <v>500</v>
      </c>
    </row>
    <row r="7">
      <c r="A7" s="10" t="n">
        <v>2</v>
      </c>
      <c r="B7" s="10" t="n">
        <v>800</v>
      </c>
    </row>
    <row r="8">
      <c r="A8" s="10" t="n">
        <v>2.5</v>
      </c>
      <c r="B8" s="10" t="n">
        <v>1100</v>
      </c>
    </row>
    <row r="9">
      <c r="A9" s="10" t="n">
        <v>3</v>
      </c>
      <c r="B9" s="10" t="n">
        <v>1500</v>
      </c>
    </row>
    <row r="10">
      <c r="A10" s="10" t="n">
        <v>3.5</v>
      </c>
      <c r="B10" s="10" t="n">
        <v>2400</v>
      </c>
    </row>
    <row r="11"/>
    <row r="12">
      <c r="A12" s="2" t="inlineStr">
        <is>
          <t>Pendiente b</t>
        </is>
      </c>
      <c r="B12" s="7">
        <f>SLOPE(B4:B10,A4:A10)</f>
        <v/>
      </c>
      <c r="C12" s="8" t="inlineStr">
        <is>
          <t>→ =PENDIENTE(B4:B10;A4:A10)</t>
        </is>
      </c>
    </row>
    <row r="13">
      <c r="A13" s="2" t="inlineStr">
        <is>
          <t>a</t>
        </is>
      </c>
      <c r="B13" s="7">
        <f>INTERCEPT(B4:B10,A4:A10)</f>
        <v/>
      </c>
      <c r="C13" s="8" t="inlineStr">
        <is>
          <t>→ =INTERSECCION.EJE(B4:B10;A4:A10)</t>
        </is>
      </c>
    </row>
    <row r="14">
      <c r="A14" s="2" t="inlineStr">
        <is>
          <t>r</t>
        </is>
      </c>
      <c r="B14" s="7">
        <f>CORREL(A4:A10,B4:B10)</f>
        <v/>
      </c>
      <c r="C14" s="8" t="inlineStr">
        <is>
          <t>→ =COEF.DE.CORREL(A4:A10;B4:B10)</t>
        </is>
      </c>
    </row>
    <row r="15">
      <c r="A15" s="2" t="inlineStr">
        <is>
          <t>R²</t>
        </is>
      </c>
      <c r="B15" s="7">
        <f>RSQ(B4:B10,A4:A10)</f>
        <v/>
      </c>
      <c r="C15" s="8" t="inlineStr">
        <is>
          <t>→ =COEFICIENTE.R2(B4:B10;A4:A10)</t>
        </is>
      </c>
    </row>
    <row r="16">
      <c r="A16" s="2" t="inlineStr">
        <is>
          <t>1 − R² (no explicado)</t>
        </is>
      </c>
      <c r="B16" s="20">
        <f>1-B15</f>
        <v/>
      </c>
      <c r="C16" s="8" t="inlineStr">
        <is>
          <t>→ =1-B15</t>
        </is>
      </c>
    </row>
    <row r="17">
      <c r="A17" s="2" t="inlineStr">
        <is>
          <t>Predicción X = 2.2</t>
        </is>
      </c>
      <c r="B17" s="18">
        <f>_xlfn.FORECAST.LINEAR(2.2,B4:B10,A4:A10)</f>
        <v/>
      </c>
      <c r="C17" s="8" t="inlineStr">
        <is>
          <t>→ =PRONOSTICO.LINEAL(2,2;B4:B10;A4:A10)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3 · Ejercicios 6 y 7</t>
        </is>
      </c>
    </row>
    <row r="2">
      <c r="A2" s="5" t="inlineStr">
        <is>
          <t>Despejar datos de la recta</t>
        </is>
      </c>
    </row>
    <row r="3"/>
    <row r="4">
      <c r="A4" s="14" t="inlineStr">
        <is>
          <t>Ejercicio 6: Ŷ = 2 − 3X, R² = 0,81, x̄ = 2, Sy = 10</t>
        </is>
      </c>
    </row>
    <row r="5">
      <c r="A5" s="2" t="inlineStr">
        <is>
          <t>ȳ</t>
        </is>
      </c>
      <c r="B5" s="7">
        <f>2-3*2</f>
        <v/>
      </c>
      <c r="C5" s="8" t="inlineStr">
        <is>
          <t>→ =2-3*2</t>
        </is>
      </c>
    </row>
    <row r="6">
      <c r="A6" s="2" t="inlineStr">
        <is>
          <t>r (signo de b)</t>
        </is>
      </c>
      <c r="B6" s="7">
        <f>-SQRT(0.81)</f>
        <v/>
      </c>
      <c r="C6" s="8" t="inlineStr">
        <is>
          <t>→ =-RAIZ(0,81)</t>
        </is>
      </c>
    </row>
    <row r="7">
      <c r="A7" s="2" t="inlineStr">
        <is>
          <t>Sx = r·Sy/b</t>
        </is>
      </c>
      <c r="B7" s="7">
        <f>B6*10/(-3)</f>
        <v/>
      </c>
      <c r="C7" s="8" t="inlineStr">
        <is>
          <t>→ =B6*10/(-3)</t>
        </is>
      </c>
    </row>
    <row r="8">
      <c r="A8" s="2" t="inlineStr">
        <is>
          <t>Sxy = b·Sx²</t>
        </is>
      </c>
      <c r="B8" s="7">
        <f>-3*B7^2</f>
        <v/>
      </c>
      <c r="C8" s="8" t="inlineStr">
        <is>
          <t>→ =-3*B7^2</t>
        </is>
      </c>
    </row>
    <row r="9"/>
    <row r="10">
      <c r="A10" s="14" t="inlineStr">
        <is>
          <t>Ejercicio 7: r = 0,56; x̄ = 12; ȳ = 24; Sx² = 3,6; Sy² = 2,5</t>
        </is>
      </c>
    </row>
    <row r="11">
      <c r="A11" s="2" t="inlineStr">
        <is>
          <t>Sxy = r·Sx·Sy</t>
        </is>
      </c>
      <c r="B11" s="7">
        <f>0.56*SQRT(3.6)*SQRT(2.5)</f>
        <v/>
      </c>
      <c r="C11" s="8" t="inlineStr">
        <is>
          <t>→ =0,56*RAIZ(3,6)*RAIZ(2,5)</t>
        </is>
      </c>
    </row>
    <row r="12">
      <c r="A12" s="2" t="inlineStr">
        <is>
          <t>b (Y sobre X)</t>
        </is>
      </c>
      <c r="B12" s="7">
        <f>B11/3.6</f>
        <v/>
      </c>
      <c r="C12" s="8" t="inlineStr">
        <is>
          <t>→ =B11/3,6</t>
        </is>
      </c>
    </row>
    <row r="13">
      <c r="A13" s="2" t="inlineStr">
        <is>
          <t>a</t>
        </is>
      </c>
      <c r="B13" s="7">
        <f>24-B12*12</f>
        <v/>
      </c>
      <c r="C13" s="8" t="inlineStr">
        <is>
          <t>→ =24-B12*12</t>
        </is>
      </c>
    </row>
    <row r="14">
      <c r="A14" s="2" t="inlineStr">
        <is>
          <t>b' (X sobre Y)</t>
        </is>
      </c>
      <c r="B14" s="7">
        <f>B11/2.5</f>
        <v/>
      </c>
      <c r="C14" s="8" t="inlineStr">
        <is>
          <t>→ =B11/2,5</t>
        </is>
      </c>
    </row>
    <row r="15">
      <c r="A15" s="2" t="inlineStr">
        <is>
          <t>a'</t>
        </is>
      </c>
      <c r="B15" s="7">
        <f>12-B14*24</f>
        <v/>
      </c>
      <c r="C15" s="8" t="inlineStr">
        <is>
          <t>→ =12-B14*24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70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3 · Ejercicio 9: rectas con la EPF</t>
        </is>
      </c>
    </row>
    <row r="2"/>
    <row r="3">
      <c r="A3" s="15" t="inlineStr">
        <is>
          <t>Provincia</t>
        </is>
      </c>
      <c r="B3" s="15" t="inlineStr">
        <is>
          <t>Alimentacion</t>
        </is>
      </c>
      <c r="C3" s="15" t="inlineStr">
        <is>
          <t>VestidoCalzado</t>
        </is>
      </c>
      <c r="D3" s="15" t="inlineStr">
        <is>
          <t>Vivienda</t>
        </is>
      </c>
      <c r="E3" s="15" t="inlineStr">
        <is>
          <t>Mobiliario</t>
        </is>
      </c>
      <c r="F3" s="15" t="inlineStr">
        <is>
          <t>Sanidad</t>
        </is>
      </c>
      <c r="G3" s="15" t="inlineStr">
        <is>
          <t>Transporte</t>
        </is>
      </c>
      <c r="H3" s="15" t="inlineStr">
        <is>
          <t>EducacionCultura</t>
        </is>
      </c>
      <c r="I3" s="15" t="inlineStr">
        <is>
          <t>TurismoOcio</t>
        </is>
      </c>
      <c r="J3" s="15" t="inlineStr">
        <is>
          <t>Otros</t>
        </is>
      </c>
    </row>
    <row r="4">
      <c r="A4" s="11" t="inlineStr">
        <is>
          <t>Almeria</t>
        </is>
      </c>
      <c r="B4" s="10" t="n">
        <v>9820.82</v>
      </c>
      <c r="C4" s="10" t="n">
        <v>4687.85</v>
      </c>
      <c r="D4" s="10" t="n">
        <v>8284.459999999999</v>
      </c>
      <c r="E4" s="10" t="n">
        <v>2650.81</v>
      </c>
      <c r="F4" s="10" t="n">
        <v>924.84</v>
      </c>
      <c r="G4" s="10" t="n">
        <v>4443.24</v>
      </c>
      <c r="H4" s="10" t="n">
        <v>2050.28</v>
      </c>
      <c r="I4" s="10" t="n">
        <v>4886.43</v>
      </c>
      <c r="J4" s="10" t="n">
        <v>1703.04</v>
      </c>
    </row>
    <row r="5">
      <c r="A5" s="11" t="inlineStr">
        <is>
          <t>Cadiz</t>
        </is>
      </c>
      <c r="B5" s="10" t="n">
        <v>10851.88</v>
      </c>
      <c r="C5" s="10" t="n">
        <v>3230.77</v>
      </c>
      <c r="D5" s="10" t="n">
        <v>6770.17</v>
      </c>
      <c r="E5" s="10" t="n">
        <v>1970.04</v>
      </c>
      <c r="F5" s="10" t="n">
        <v>962.4299999999999</v>
      </c>
      <c r="G5" s="10" t="n">
        <v>4536.1</v>
      </c>
      <c r="H5" s="10" t="n">
        <v>2027.64</v>
      </c>
      <c r="I5" s="10" t="n">
        <v>4970.06</v>
      </c>
      <c r="J5" s="10" t="n">
        <v>1325.24</v>
      </c>
    </row>
    <row r="6">
      <c r="A6" s="11" t="inlineStr">
        <is>
          <t>Cordoba</t>
        </is>
      </c>
      <c r="B6" s="10" t="n">
        <v>9373.58</v>
      </c>
      <c r="C6" s="10" t="n">
        <v>4214.26</v>
      </c>
      <c r="D6" s="10" t="n">
        <v>7729.36</v>
      </c>
      <c r="E6" s="10" t="n">
        <v>1799.06</v>
      </c>
      <c r="F6" s="10" t="n">
        <v>589.15</v>
      </c>
      <c r="G6" s="10" t="n">
        <v>3765.49</v>
      </c>
      <c r="H6" s="10" t="n">
        <v>1852.66</v>
      </c>
      <c r="I6" s="10" t="n">
        <v>3927.58</v>
      </c>
      <c r="J6" s="10" t="n">
        <v>1268.13</v>
      </c>
    </row>
    <row r="7">
      <c r="A7" s="11" t="inlineStr">
        <is>
          <t>Granada</t>
        </is>
      </c>
      <c r="B7" s="10" t="n">
        <v>8684.700000000001</v>
      </c>
      <c r="C7" s="10" t="n">
        <v>3789.32</v>
      </c>
      <c r="D7" s="10" t="n">
        <v>7272.32</v>
      </c>
      <c r="E7" s="10" t="n">
        <v>1896.71</v>
      </c>
      <c r="F7" s="10" t="n">
        <v>640.0599999999999</v>
      </c>
      <c r="G7" s="10" t="n">
        <v>3755.56</v>
      </c>
      <c r="H7" s="10" t="n">
        <v>1648.57</v>
      </c>
      <c r="I7" s="10" t="n">
        <v>4320.63</v>
      </c>
      <c r="J7" s="10" t="n">
        <v>1155.3</v>
      </c>
    </row>
    <row r="8">
      <c r="A8" s="11" t="inlineStr">
        <is>
          <t>Huelva</t>
        </is>
      </c>
      <c r="B8" s="10" t="n">
        <v>10301.07</v>
      </c>
      <c r="C8" s="10" t="n">
        <v>3898.8</v>
      </c>
      <c r="D8" s="10" t="n">
        <v>9054.040000000001</v>
      </c>
      <c r="E8" s="10" t="n">
        <v>1574.77</v>
      </c>
      <c r="F8" s="10" t="n">
        <v>982.99</v>
      </c>
      <c r="G8" s="10" t="n">
        <v>4018.82</v>
      </c>
      <c r="H8" s="10" t="n">
        <v>1955.48</v>
      </c>
      <c r="I8" s="10" t="n">
        <v>3790.24</v>
      </c>
      <c r="J8" s="10" t="n">
        <v>1318.05</v>
      </c>
    </row>
    <row r="9">
      <c r="A9" s="11" t="inlineStr">
        <is>
          <t>Jaen</t>
        </is>
      </c>
      <c r="B9" s="10" t="n">
        <v>8825.23</v>
      </c>
      <c r="C9" s="10" t="n">
        <v>2908.29</v>
      </c>
      <c r="D9" s="10" t="n">
        <v>5278.25</v>
      </c>
      <c r="E9" s="10" t="n">
        <v>1370.31</v>
      </c>
      <c r="F9" s="10" t="n">
        <v>589.61</v>
      </c>
      <c r="G9" s="10" t="n">
        <v>2173.61</v>
      </c>
      <c r="H9" s="10" t="n">
        <v>914.03</v>
      </c>
      <c r="I9" s="10" t="n">
        <v>3011.68</v>
      </c>
      <c r="J9" s="10" t="n">
        <v>909.34</v>
      </c>
    </row>
    <row r="10">
      <c r="A10" s="11" t="inlineStr">
        <is>
          <t>Malaga</t>
        </is>
      </c>
      <c r="B10" s="10" t="n">
        <v>9802.110000000001</v>
      </c>
      <c r="C10" s="10" t="n">
        <v>3194.73</v>
      </c>
      <c r="D10" s="10" t="n">
        <v>8064.29</v>
      </c>
      <c r="E10" s="10" t="n">
        <v>1920.03</v>
      </c>
      <c r="F10" s="10" t="n">
        <v>1007.82</v>
      </c>
      <c r="G10" s="10" t="n">
        <v>4077.32</v>
      </c>
      <c r="H10" s="10" t="n">
        <v>2036.27</v>
      </c>
      <c r="I10" s="10" t="n">
        <v>5134.98</v>
      </c>
      <c r="J10" s="10" t="n">
        <v>1491.01</v>
      </c>
    </row>
    <row r="11">
      <c r="A11" s="11" t="inlineStr">
        <is>
          <t>Sevilla</t>
        </is>
      </c>
      <c r="B11" s="10" t="n">
        <v>9862.280000000001</v>
      </c>
      <c r="C11" s="10" t="n">
        <v>3302.75</v>
      </c>
      <c r="D11" s="10" t="n">
        <v>8717.16</v>
      </c>
      <c r="E11" s="10" t="n">
        <v>2180.21</v>
      </c>
      <c r="F11" s="10" t="n">
        <v>715.6</v>
      </c>
      <c r="G11" s="10" t="n">
        <v>4728.28</v>
      </c>
      <c r="H11" s="10" t="n">
        <v>1876.54</v>
      </c>
      <c r="I11" s="10" t="n">
        <v>4895.26</v>
      </c>
      <c r="J11" s="10" t="n">
        <v>1340.96</v>
      </c>
    </row>
    <row r="12">
      <c r="A12" s="11" t="inlineStr">
        <is>
          <t>Huesca</t>
        </is>
      </c>
      <c r="B12" s="10" t="n">
        <v>9156.790000000001</v>
      </c>
      <c r="C12" s="10" t="n">
        <v>3955.73</v>
      </c>
      <c r="D12" s="10" t="n">
        <v>6551.48</v>
      </c>
      <c r="E12" s="10" t="n">
        <v>1713.22</v>
      </c>
      <c r="F12" s="10" t="n">
        <v>628.35</v>
      </c>
      <c r="G12" s="10" t="n">
        <v>5320.65</v>
      </c>
      <c r="H12" s="10" t="n">
        <v>1436.68</v>
      </c>
      <c r="I12" s="10" t="n">
        <v>3605.97</v>
      </c>
      <c r="J12" s="10" t="n">
        <v>1461.37</v>
      </c>
    </row>
    <row r="13">
      <c r="A13" s="11" t="inlineStr">
        <is>
          <t>Teruel</t>
        </is>
      </c>
      <c r="B13" s="10" t="n">
        <v>8651.139999999999</v>
      </c>
      <c r="C13" s="10" t="n">
        <v>3169.98</v>
      </c>
      <c r="D13" s="10" t="n">
        <v>5456.87</v>
      </c>
      <c r="E13" s="10" t="n">
        <v>1938.18</v>
      </c>
      <c r="F13" s="10" t="n">
        <v>670.86</v>
      </c>
      <c r="G13" s="10" t="n">
        <v>3558.68</v>
      </c>
      <c r="H13" s="10" t="n">
        <v>1432.62</v>
      </c>
      <c r="I13" s="10" t="n">
        <v>3772.26</v>
      </c>
      <c r="J13" s="10" t="n">
        <v>1236.62</v>
      </c>
    </row>
    <row r="14">
      <c r="A14" s="11" t="inlineStr">
        <is>
          <t>Zaragoza</t>
        </is>
      </c>
      <c r="B14" s="10" t="n">
        <v>8833.59</v>
      </c>
      <c r="C14" s="10" t="n">
        <v>4227.97</v>
      </c>
      <c r="D14" s="10" t="n">
        <v>7885.59</v>
      </c>
      <c r="E14" s="10" t="n">
        <v>2102.61</v>
      </c>
      <c r="F14" s="10" t="n">
        <v>858.48</v>
      </c>
      <c r="G14" s="10" t="n">
        <v>3731.66</v>
      </c>
      <c r="H14" s="10" t="n">
        <v>1887.04</v>
      </c>
      <c r="I14" s="10" t="n">
        <v>4480.27</v>
      </c>
      <c r="J14" s="10" t="n">
        <v>1264.86</v>
      </c>
    </row>
    <row r="15">
      <c r="A15" s="11" t="inlineStr">
        <is>
          <t>Asturias</t>
        </is>
      </c>
      <c r="B15" s="10" t="n">
        <v>9915.76</v>
      </c>
      <c r="C15" s="10" t="n">
        <v>4447.01</v>
      </c>
      <c r="D15" s="10" t="n">
        <v>8422.5</v>
      </c>
      <c r="E15" s="10" t="n">
        <v>2095.45</v>
      </c>
      <c r="F15" s="10" t="n">
        <v>915.1799999999999</v>
      </c>
      <c r="G15" s="10" t="n">
        <v>5394.89</v>
      </c>
      <c r="H15" s="10" t="n">
        <v>2368.35</v>
      </c>
      <c r="I15" s="10" t="n">
        <v>5005.6</v>
      </c>
      <c r="J15" s="10" t="n">
        <v>1917.59</v>
      </c>
    </row>
    <row r="16">
      <c r="A16" s="11" t="inlineStr">
        <is>
          <t>Baleares</t>
        </is>
      </c>
      <c r="B16" s="10" t="n">
        <v>8952.32</v>
      </c>
      <c r="C16" s="10" t="n">
        <v>3598.83</v>
      </c>
      <c r="D16" s="10" t="n">
        <v>9558.059999999999</v>
      </c>
      <c r="E16" s="10" t="n">
        <v>2284.89</v>
      </c>
      <c r="F16" s="10" t="n">
        <v>1377.28</v>
      </c>
      <c r="G16" s="10" t="n">
        <v>5684.89</v>
      </c>
      <c r="H16" s="10" t="n">
        <v>2388.75</v>
      </c>
      <c r="I16" s="10" t="n">
        <v>5578.02</v>
      </c>
      <c r="J16" s="10" t="n">
        <v>2091.27</v>
      </c>
    </row>
    <row r="17">
      <c r="A17" s="11" t="inlineStr">
        <is>
          <t>LasPalmas</t>
        </is>
      </c>
      <c r="B17" s="10" t="n">
        <v>10037.92</v>
      </c>
      <c r="C17" s="10" t="n">
        <v>3200.38</v>
      </c>
      <c r="D17" s="10" t="n">
        <v>8295.85</v>
      </c>
      <c r="E17" s="10" t="n">
        <v>2439.9</v>
      </c>
      <c r="F17" s="10" t="n">
        <v>1335.15</v>
      </c>
      <c r="G17" s="10" t="n">
        <v>5204.09</v>
      </c>
      <c r="H17" s="10" t="n">
        <v>2745.43</v>
      </c>
      <c r="I17" s="10" t="n">
        <v>4849.31</v>
      </c>
      <c r="J17" s="10" t="n">
        <v>1818.75</v>
      </c>
    </row>
    <row r="18">
      <c r="A18" s="11" t="inlineStr">
        <is>
          <t>Tenerife</t>
        </is>
      </c>
      <c r="B18" s="10" t="n">
        <v>8305.85</v>
      </c>
      <c r="C18" s="10" t="n">
        <v>2714.35</v>
      </c>
      <c r="D18" s="10" t="n">
        <v>7416.49</v>
      </c>
      <c r="E18" s="10" t="n">
        <v>1885.87</v>
      </c>
      <c r="F18" s="10" t="n">
        <v>1035.26</v>
      </c>
      <c r="G18" s="10" t="n">
        <v>4817.1</v>
      </c>
      <c r="H18" s="10" t="n">
        <v>2262.91</v>
      </c>
      <c r="I18" s="10" t="n">
        <v>4499.21</v>
      </c>
      <c r="J18" s="10" t="n">
        <v>1284.55</v>
      </c>
    </row>
    <row r="19">
      <c r="A19" s="11" t="inlineStr">
        <is>
          <t>Cantabria</t>
        </is>
      </c>
      <c r="B19" s="10" t="n">
        <v>9584.82</v>
      </c>
      <c r="C19" s="10" t="n">
        <v>4568.71</v>
      </c>
      <c r="D19" s="10" t="n">
        <v>10391.57</v>
      </c>
      <c r="E19" s="10" t="n">
        <v>1892.41</v>
      </c>
      <c r="F19" s="10" t="n">
        <v>1004.68</v>
      </c>
      <c r="G19" s="10" t="n">
        <v>4796.14</v>
      </c>
      <c r="H19" s="10" t="n">
        <v>1852.47</v>
      </c>
      <c r="I19" s="10" t="n">
        <v>4389.73</v>
      </c>
      <c r="J19" s="10" t="n">
        <v>1672.69</v>
      </c>
    </row>
    <row r="20">
      <c r="A20" s="11" t="inlineStr">
        <is>
          <t>Avila</t>
        </is>
      </c>
      <c r="B20" s="10" t="n">
        <v>8625.07</v>
      </c>
      <c r="C20" s="10" t="n">
        <v>3849.41</v>
      </c>
      <c r="D20" s="10" t="n">
        <v>6157.29</v>
      </c>
      <c r="E20" s="10" t="n">
        <v>1472.56</v>
      </c>
      <c r="F20" s="10" t="n">
        <v>746.29</v>
      </c>
      <c r="G20" s="10" t="n">
        <v>4039.08</v>
      </c>
      <c r="H20" s="10" t="n">
        <v>1182.42</v>
      </c>
      <c r="I20" s="10" t="n">
        <v>3980.21</v>
      </c>
      <c r="J20" s="10" t="n">
        <v>1302.04</v>
      </c>
    </row>
    <row r="21">
      <c r="A21" s="11" t="inlineStr">
        <is>
          <t>Burgos</t>
        </is>
      </c>
      <c r="B21" s="10" t="n">
        <v>9556.639999999999</v>
      </c>
      <c r="C21" s="10" t="n">
        <v>4055.01</v>
      </c>
      <c r="D21" s="10" t="n">
        <v>9521.950000000001</v>
      </c>
      <c r="E21" s="10" t="n">
        <v>2573.04</v>
      </c>
      <c r="F21" s="10" t="n">
        <v>814.09</v>
      </c>
      <c r="G21" s="10" t="n">
        <v>4443.05</v>
      </c>
      <c r="H21" s="10" t="n">
        <v>2096.96</v>
      </c>
      <c r="I21" s="10" t="n">
        <v>4788.78</v>
      </c>
      <c r="J21" s="10" t="n">
        <v>1764.76</v>
      </c>
    </row>
    <row r="22">
      <c r="A22" s="11" t="inlineStr">
        <is>
          <t>Leon</t>
        </is>
      </c>
      <c r="B22" s="10" t="n">
        <v>9885.709999999999</v>
      </c>
      <c r="C22" s="10" t="n">
        <v>3891.15</v>
      </c>
      <c r="D22" s="10" t="n">
        <v>7939.93</v>
      </c>
      <c r="E22" s="10" t="n">
        <v>2158.35</v>
      </c>
      <c r="F22" s="10" t="n">
        <v>661.12</v>
      </c>
      <c r="G22" s="10" t="n">
        <v>5284.66</v>
      </c>
      <c r="H22" s="10" t="n">
        <v>1898.56</v>
      </c>
      <c r="I22" s="10" t="n">
        <v>4244.44</v>
      </c>
      <c r="J22" s="10" t="n">
        <v>2323.43</v>
      </c>
    </row>
    <row r="23">
      <c r="A23" s="11" t="inlineStr">
        <is>
          <t>Palencia</t>
        </is>
      </c>
      <c r="B23" s="10" t="n">
        <v>9356.76</v>
      </c>
      <c r="C23" s="10" t="n">
        <v>3269.31</v>
      </c>
      <c r="D23" s="10" t="n">
        <v>7125.95</v>
      </c>
      <c r="E23" s="10" t="n">
        <v>1804.27</v>
      </c>
      <c r="F23" s="10" t="n">
        <v>551.96</v>
      </c>
      <c r="G23" s="10" t="n">
        <v>3944.78</v>
      </c>
      <c r="H23" s="10" t="n">
        <v>1837.76</v>
      </c>
      <c r="I23" s="10" t="n">
        <v>4665.89</v>
      </c>
      <c r="J23" s="10" t="n">
        <v>1733.66</v>
      </c>
    </row>
    <row r="24">
      <c r="A24" s="11" t="inlineStr">
        <is>
          <t>Salamanca</t>
        </is>
      </c>
      <c r="B24" s="10" t="n">
        <v>7755.4</v>
      </c>
      <c r="C24" s="10" t="n">
        <v>2662.66</v>
      </c>
      <c r="D24" s="10" t="n">
        <v>6347.47</v>
      </c>
      <c r="E24" s="10" t="n">
        <v>1241.05</v>
      </c>
      <c r="F24" s="10" t="n">
        <v>388.35</v>
      </c>
      <c r="G24" s="10" t="n">
        <v>3095.04</v>
      </c>
      <c r="H24" s="10" t="n">
        <v>1108.23</v>
      </c>
      <c r="I24" s="10" t="n">
        <v>3063.17</v>
      </c>
      <c r="J24" s="10" t="n">
        <v>863.8200000000001</v>
      </c>
    </row>
    <row r="25">
      <c r="A25" s="11" t="inlineStr">
        <is>
          <t>Segovia</t>
        </is>
      </c>
      <c r="B25" s="10" t="n">
        <v>8378.26</v>
      </c>
      <c r="C25" s="10" t="n">
        <v>2932.8</v>
      </c>
      <c r="D25" s="10" t="n">
        <v>7225.2</v>
      </c>
      <c r="E25" s="10" t="n">
        <v>1641.35</v>
      </c>
      <c r="F25" s="10" t="n">
        <v>735.22</v>
      </c>
      <c r="G25" s="10" t="n">
        <v>3445.55</v>
      </c>
      <c r="H25" s="10" t="n">
        <v>1450.79</v>
      </c>
      <c r="I25" s="10" t="n">
        <v>4120.67</v>
      </c>
      <c r="J25" s="10" t="n">
        <v>1845.35</v>
      </c>
    </row>
    <row r="26">
      <c r="A26" s="11" t="inlineStr">
        <is>
          <t>Soria</t>
        </is>
      </c>
      <c r="B26" s="10" t="n">
        <v>10784.96</v>
      </c>
      <c r="C26" s="10" t="n">
        <v>3691.76</v>
      </c>
      <c r="D26" s="10" t="n">
        <v>7991.99</v>
      </c>
      <c r="E26" s="10" t="n">
        <v>2058.99</v>
      </c>
      <c r="F26" s="10" t="n">
        <v>872.67</v>
      </c>
      <c r="G26" s="10" t="n">
        <v>4319.7</v>
      </c>
      <c r="H26" s="10" t="n">
        <v>1865.72</v>
      </c>
      <c r="I26" s="10" t="n">
        <v>4760.24</v>
      </c>
      <c r="J26" s="10" t="n">
        <v>1916.75</v>
      </c>
    </row>
    <row r="27">
      <c r="A27" s="11" t="inlineStr">
        <is>
          <t>Valladolid</t>
        </is>
      </c>
      <c r="B27" s="10" t="n">
        <v>9002.16</v>
      </c>
      <c r="C27" s="10" t="n">
        <v>3541.47</v>
      </c>
      <c r="D27" s="10" t="n">
        <v>8987.43</v>
      </c>
      <c r="E27" s="10" t="n">
        <v>2230.43</v>
      </c>
      <c r="F27" s="10" t="n">
        <v>731.63</v>
      </c>
      <c r="G27" s="10" t="n">
        <v>4033.57</v>
      </c>
      <c r="H27" s="10" t="n">
        <v>2364.79</v>
      </c>
      <c r="I27" s="10" t="n">
        <v>5200.7</v>
      </c>
      <c r="J27" s="10" t="n">
        <v>1561.76</v>
      </c>
    </row>
    <row r="28">
      <c r="A28" s="11" t="inlineStr">
        <is>
          <t>Zamora</t>
        </is>
      </c>
      <c r="B28" s="10" t="n">
        <v>8639.860000000001</v>
      </c>
      <c r="C28" s="10" t="n">
        <v>2837.52</v>
      </c>
      <c r="D28" s="10" t="n">
        <v>6384.04</v>
      </c>
      <c r="E28" s="10" t="n">
        <v>1585.93</v>
      </c>
      <c r="F28" s="10" t="n">
        <v>510</v>
      </c>
      <c r="G28" s="10" t="n">
        <v>3604.33</v>
      </c>
      <c r="H28" s="10" t="n">
        <v>1115.16</v>
      </c>
      <c r="I28" s="10" t="n">
        <v>3674.37</v>
      </c>
      <c r="J28" s="10" t="n">
        <v>1988.61</v>
      </c>
    </row>
    <row r="29">
      <c r="A29" s="11" t="inlineStr">
        <is>
          <t>Albacete</t>
        </is>
      </c>
      <c r="B29" s="10" t="n">
        <v>8503.59</v>
      </c>
      <c r="C29" s="10" t="n">
        <v>3166.35</v>
      </c>
      <c r="D29" s="10" t="n">
        <v>6752.84</v>
      </c>
      <c r="E29" s="10" t="n">
        <v>2186.42</v>
      </c>
      <c r="F29" s="10" t="n">
        <v>888.01</v>
      </c>
      <c r="G29" s="10" t="n">
        <v>3684.4</v>
      </c>
      <c r="H29" s="10" t="n">
        <v>1663.88</v>
      </c>
      <c r="I29" s="10" t="n">
        <v>4628.45</v>
      </c>
      <c r="J29" s="10" t="n">
        <v>1455.53</v>
      </c>
    </row>
    <row r="30">
      <c r="A30" s="11" t="inlineStr">
        <is>
          <t>CiudadReal</t>
        </is>
      </c>
      <c r="B30" s="10" t="n">
        <v>8661.83</v>
      </c>
      <c r="C30" s="10" t="n">
        <v>3605.79</v>
      </c>
      <c r="D30" s="10" t="n">
        <v>7737.42</v>
      </c>
      <c r="E30" s="10" t="n">
        <v>1995.08</v>
      </c>
      <c r="F30" s="10" t="n">
        <v>698.15</v>
      </c>
      <c r="G30" s="10" t="n">
        <v>3662.36</v>
      </c>
      <c r="H30" s="10" t="n">
        <v>1406.58</v>
      </c>
      <c r="I30" s="10" t="n">
        <v>3652.73</v>
      </c>
      <c r="J30" s="10" t="n">
        <v>1442.06</v>
      </c>
    </row>
    <row r="31">
      <c r="A31" s="11" t="inlineStr">
        <is>
          <t>Cuenca</t>
        </is>
      </c>
      <c r="B31" s="10" t="n">
        <v>8041.48</v>
      </c>
      <c r="C31" s="10" t="n">
        <v>3080.62</v>
      </c>
      <c r="D31" s="10" t="n">
        <v>6671.77</v>
      </c>
      <c r="E31" s="10" t="n">
        <v>1737.93</v>
      </c>
      <c r="F31" s="10" t="n">
        <v>808.58</v>
      </c>
      <c r="G31" s="10" t="n">
        <v>3501.44</v>
      </c>
      <c r="H31" s="10" t="n">
        <v>1248.28</v>
      </c>
      <c r="I31" s="10" t="n">
        <v>4284.62</v>
      </c>
      <c r="J31" s="10" t="n">
        <v>1638.84</v>
      </c>
    </row>
    <row r="32">
      <c r="A32" s="11" t="inlineStr">
        <is>
          <t>Guadalajara</t>
        </is>
      </c>
      <c r="B32" s="10" t="n">
        <v>8677.65</v>
      </c>
      <c r="C32" s="10" t="n">
        <v>2853.22</v>
      </c>
      <c r="D32" s="10" t="n">
        <v>7575.5</v>
      </c>
      <c r="E32" s="10" t="n">
        <v>1833.95</v>
      </c>
      <c r="F32" s="10" t="n">
        <v>636.72</v>
      </c>
      <c r="G32" s="10" t="n">
        <v>4746.91</v>
      </c>
      <c r="H32" s="10" t="n">
        <v>1506.12</v>
      </c>
      <c r="I32" s="10" t="n">
        <v>4564.9</v>
      </c>
      <c r="J32" s="10" t="n">
        <v>1391.83</v>
      </c>
    </row>
    <row r="33">
      <c r="A33" s="11" t="inlineStr">
        <is>
          <t>Toledo</t>
        </is>
      </c>
      <c r="B33" s="10" t="n">
        <v>9255.450000000001</v>
      </c>
      <c r="C33" s="10" t="n">
        <v>4054.38</v>
      </c>
      <c r="D33" s="10" t="n">
        <v>6535.44</v>
      </c>
      <c r="E33" s="10" t="n">
        <v>2074.53</v>
      </c>
      <c r="F33" s="10" t="n">
        <v>1036.81</v>
      </c>
      <c r="G33" s="10" t="n">
        <v>4476.43</v>
      </c>
      <c r="H33" s="10" t="n">
        <v>1679.84</v>
      </c>
      <c r="I33" s="10" t="n">
        <v>3835.76</v>
      </c>
      <c r="J33" s="10" t="n">
        <v>1938.74</v>
      </c>
    </row>
    <row r="34">
      <c r="A34" s="11" t="inlineStr">
        <is>
          <t>Barcelona</t>
        </is>
      </c>
      <c r="B34" s="10" t="n">
        <v>11153.03</v>
      </c>
      <c r="C34" s="10" t="n">
        <v>4084.55</v>
      </c>
      <c r="D34" s="10" t="n">
        <v>11143.44</v>
      </c>
      <c r="E34" s="10" t="n">
        <v>2676.65</v>
      </c>
      <c r="F34" s="10" t="n">
        <v>1548.51</v>
      </c>
      <c r="G34" s="10" t="n">
        <v>5795.4</v>
      </c>
      <c r="H34" s="10" t="n">
        <v>3795.11</v>
      </c>
      <c r="I34" s="10" t="n">
        <v>6018.55</v>
      </c>
      <c r="J34" s="10" t="n">
        <v>1585.55</v>
      </c>
    </row>
    <row r="35">
      <c r="A35" s="11" t="inlineStr">
        <is>
          <t>Gerona</t>
        </is>
      </c>
      <c r="B35" s="10" t="n">
        <v>10855.79</v>
      </c>
      <c r="C35" s="10" t="n">
        <v>4522.76</v>
      </c>
      <c r="D35" s="10" t="n">
        <v>8982.93</v>
      </c>
      <c r="E35" s="10" t="n">
        <v>2369.03</v>
      </c>
      <c r="F35" s="10" t="n">
        <v>1230.51</v>
      </c>
      <c r="G35" s="10" t="n">
        <v>4122.79</v>
      </c>
      <c r="H35" s="10" t="n">
        <v>3036.89</v>
      </c>
      <c r="I35" s="10" t="n">
        <v>5221.56</v>
      </c>
      <c r="J35" s="10" t="n">
        <v>2138.61</v>
      </c>
    </row>
    <row r="36">
      <c r="A36" s="11" t="inlineStr">
        <is>
          <t>Lerida</t>
        </is>
      </c>
      <c r="B36" s="10" t="n">
        <v>11051.84</v>
      </c>
      <c r="C36" s="10" t="n">
        <v>4492.41</v>
      </c>
      <c r="D36" s="10" t="n">
        <v>8074.67</v>
      </c>
      <c r="E36" s="10" t="n">
        <v>2328.81</v>
      </c>
      <c r="F36" s="10" t="n">
        <v>1441.14</v>
      </c>
      <c r="G36" s="10" t="n">
        <v>6379.58</v>
      </c>
      <c r="H36" s="10" t="n">
        <v>2866.35</v>
      </c>
      <c r="I36" s="10" t="n">
        <v>5602.92</v>
      </c>
      <c r="J36" s="10" t="n">
        <v>2426.4</v>
      </c>
    </row>
    <row r="37">
      <c r="A37" s="11" t="inlineStr">
        <is>
          <t>Tarragona</t>
        </is>
      </c>
      <c r="B37" s="10" t="n">
        <v>9299.83</v>
      </c>
      <c r="C37" s="10" t="n">
        <v>4492.06</v>
      </c>
      <c r="D37" s="10" t="n">
        <v>8848.120000000001</v>
      </c>
      <c r="E37" s="10" t="n">
        <v>2387.37</v>
      </c>
      <c r="F37" s="10" t="n">
        <v>997.27</v>
      </c>
      <c r="G37" s="10" t="n">
        <v>5265.34</v>
      </c>
      <c r="H37" s="10" t="n">
        <v>2946.66</v>
      </c>
      <c r="I37" s="10" t="n">
        <v>6052.92</v>
      </c>
      <c r="J37" s="10" t="n">
        <v>1822.71</v>
      </c>
    </row>
    <row r="38">
      <c r="A38" s="11" t="inlineStr">
        <is>
          <t>Alicante</t>
        </is>
      </c>
      <c r="B38" s="10" t="n">
        <v>9192.459999999999</v>
      </c>
      <c r="C38" s="10" t="n">
        <v>3263.55</v>
      </c>
      <c r="D38" s="10" t="n">
        <v>7778.42</v>
      </c>
      <c r="E38" s="10" t="n">
        <v>2130.17</v>
      </c>
      <c r="F38" s="10" t="n">
        <v>1081.17</v>
      </c>
      <c r="G38" s="10" t="n">
        <v>4727.31</v>
      </c>
      <c r="H38" s="10" t="n">
        <v>1867.67</v>
      </c>
      <c r="I38" s="10" t="n">
        <v>5024.59</v>
      </c>
      <c r="J38" s="10" t="n">
        <v>1773.2</v>
      </c>
    </row>
    <row r="39">
      <c r="A39" s="11" t="inlineStr">
        <is>
          <t>Castellon</t>
        </is>
      </c>
      <c r="B39" s="10" t="n">
        <v>7878.76</v>
      </c>
      <c r="C39" s="10" t="n">
        <v>3198.83</v>
      </c>
      <c r="D39" s="10" t="n">
        <v>6536.64</v>
      </c>
      <c r="E39" s="10" t="n">
        <v>1709.46</v>
      </c>
      <c r="F39" s="10" t="n">
        <v>681.3</v>
      </c>
      <c r="G39" s="10" t="n">
        <v>3364.55</v>
      </c>
      <c r="H39" s="10" t="n">
        <v>1342.48</v>
      </c>
      <c r="I39" s="10" t="n">
        <v>3836.49</v>
      </c>
      <c r="J39" s="10" t="n">
        <v>1227.61</v>
      </c>
    </row>
    <row r="40">
      <c r="A40" s="11" t="inlineStr">
        <is>
          <t>Valencia</t>
        </is>
      </c>
      <c r="B40" s="10" t="n">
        <v>8561.209999999999</v>
      </c>
      <c r="C40" s="10" t="n">
        <v>3618.75</v>
      </c>
      <c r="D40" s="10" t="n">
        <v>7364.17</v>
      </c>
      <c r="E40" s="10" t="n">
        <v>2196.26</v>
      </c>
      <c r="F40" s="10" t="n">
        <v>991.21</v>
      </c>
      <c r="G40" s="10" t="n">
        <v>4537.06</v>
      </c>
      <c r="H40" s="10" t="n">
        <v>2138.06</v>
      </c>
      <c r="I40" s="10" t="n">
        <v>6107.72</v>
      </c>
      <c r="J40" s="10" t="n">
        <v>1532.15</v>
      </c>
    </row>
    <row r="41">
      <c r="A41" s="11" t="inlineStr">
        <is>
          <t>Badajoz</t>
        </is>
      </c>
      <c r="B41" s="10" t="n">
        <v>6829.7</v>
      </c>
      <c r="C41" s="10" t="n">
        <v>3245.2</v>
      </c>
      <c r="D41" s="10" t="n">
        <v>5282.79</v>
      </c>
      <c r="E41" s="10" t="n">
        <v>1457.06</v>
      </c>
      <c r="F41" s="10" t="n">
        <v>652.3099999999999</v>
      </c>
      <c r="G41" s="10" t="n">
        <v>2975.01</v>
      </c>
      <c r="H41" s="10" t="n">
        <v>1229.37</v>
      </c>
      <c r="I41" s="10" t="n">
        <v>3233.76</v>
      </c>
      <c r="J41" s="10" t="n">
        <v>975.45</v>
      </c>
    </row>
    <row r="42">
      <c r="A42" s="11" t="inlineStr">
        <is>
          <t>Caceres</t>
        </is>
      </c>
      <c r="B42" s="10" t="n">
        <v>9040.98</v>
      </c>
      <c r="C42" s="10" t="n">
        <v>3534.41</v>
      </c>
      <c r="D42" s="10" t="n">
        <v>6402.97</v>
      </c>
      <c r="E42" s="10" t="n">
        <v>1889.38</v>
      </c>
      <c r="F42" s="10" t="n">
        <v>760.08</v>
      </c>
      <c r="G42" s="10" t="n">
        <v>3944.01</v>
      </c>
      <c r="H42" s="10" t="n">
        <v>1591.15</v>
      </c>
      <c r="I42" s="10" t="n">
        <v>4535.98</v>
      </c>
      <c r="J42" s="10" t="n">
        <v>1423.82</v>
      </c>
    </row>
    <row r="43">
      <c r="A43" s="11" t="inlineStr">
        <is>
          <t>LaCoruna</t>
        </is>
      </c>
      <c r="B43" s="10" t="n">
        <v>10986.83</v>
      </c>
      <c r="C43" s="10" t="n">
        <v>3952.73</v>
      </c>
      <c r="D43" s="10" t="n">
        <v>8038.33</v>
      </c>
      <c r="E43" s="10" t="n">
        <v>2249.98</v>
      </c>
      <c r="F43" s="10" t="n">
        <v>890.35</v>
      </c>
      <c r="G43" s="10" t="n">
        <v>4401.44</v>
      </c>
      <c r="H43" s="10" t="n">
        <v>2256.98</v>
      </c>
      <c r="I43" s="10" t="n">
        <v>4587.24</v>
      </c>
      <c r="J43" s="10" t="n">
        <v>1721.36</v>
      </c>
    </row>
    <row r="44">
      <c r="A44" s="11" t="inlineStr">
        <is>
          <t>Lugo</t>
        </is>
      </c>
      <c r="B44" s="10" t="n">
        <v>11409.41</v>
      </c>
      <c r="C44" s="10" t="n">
        <v>4542.28</v>
      </c>
      <c r="D44" s="10" t="n">
        <v>6582.99</v>
      </c>
      <c r="E44" s="10" t="n">
        <v>2263.05</v>
      </c>
      <c r="F44" s="10" t="n">
        <v>996.1</v>
      </c>
      <c r="G44" s="10" t="n">
        <v>4789.64</v>
      </c>
      <c r="H44" s="10" t="n">
        <v>1616.64</v>
      </c>
      <c r="I44" s="10" t="n">
        <v>3438.21</v>
      </c>
      <c r="J44" s="10" t="n">
        <v>1894.45</v>
      </c>
    </row>
    <row r="45">
      <c r="A45" s="11" t="inlineStr">
        <is>
          <t>Orense</t>
        </is>
      </c>
      <c r="B45" s="10" t="n">
        <v>9498.91</v>
      </c>
      <c r="C45" s="10" t="n">
        <v>2893.74</v>
      </c>
      <c r="D45" s="10" t="n">
        <v>5884.43</v>
      </c>
      <c r="E45" s="10" t="n">
        <v>1695.72</v>
      </c>
      <c r="F45" s="10" t="n">
        <v>504.23</v>
      </c>
      <c r="G45" s="10" t="n">
        <v>3506.99</v>
      </c>
      <c r="H45" s="10" t="n">
        <v>1820.36</v>
      </c>
      <c r="I45" s="10" t="n">
        <v>3267.29</v>
      </c>
      <c r="J45" s="10" t="n">
        <v>1430.92</v>
      </c>
    </row>
    <row r="46">
      <c r="A46" s="11" t="inlineStr">
        <is>
          <t>Pontevedra</t>
        </is>
      </c>
      <c r="B46" s="10" t="n">
        <v>11684.9</v>
      </c>
      <c r="C46" s="10" t="n">
        <v>4180.55</v>
      </c>
      <c r="D46" s="10" t="n">
        <v>7441.24</v>
      </c>
      <c r="E46" s="10" t="n">
        <v>2161.11</v>
      </c>
      <c r="F46" s="10" t="n">
        <v>806.27</v>
      </c>
      <c r="G46" s="10" t="n">
        <v>5462.74</v>
      </c>
      <c r="H46" s="10" t="n">
        <v>2057.68</v>
      </c>
      <c r="I46" s="10" t="n">
        <v>4908.35</v>
      </c>
      <c r="J46" s="10" t="n">
        <v>1590.72</v>
      </c>
    </row>
    <row r="47">
      <c r="A47" s="11" t="inlineStr">
        <is>
          <t>Madrid</t>
        </is>
      </c>
      <c r="B47" s="10" t="n">
        <v>10639.86</v>
      </c>
      <c r="C47" s="10" t="n">
        <v>4029</v>
      </c>
      <c r="D47" s="10" t="n">
        <v>13717.62</v>
      </c>
      <c r="E47" s="10" t="n">
        <v>2348.5</v>
      </c>
      <c r="F47" s="10" t="n">
        <v>1374.07</v>
      </c>
      <c r="G47" s="10" t="n">
        <v>6246.16</v>
      </c>
      <c r="H47" s="10" t="n">
        <v>3687.22</v>
      </c>
      <c r="I47" s="10" t="n">
        <v>6985.72</v>
      </c>
      <c r="J47" s="10" t="n">
        <v>2067.27</v>
      </c>
    </row>
    <row r="48">
      <c r="A48" s="11" t="inlineStr">
        <is>
          <t>Murcia</t>
        </is>
      </c>
      <c r="B48" s="10" t="n">
        <v>9690.09</v>
      </c>
      <c r="C48" s="10" t="n">
        <v>3334.69</v>
      </c>
      <c r="D48" s="10" t="n">
        <v>7470.99</v>
      </c>
      <c r="E48" s="10" t="n">
        <v>2040.89</v>
      </c>
      <c r="F48" s="10" t="n">
        <v>743.61</v>
      </c>
      <c r="G48" s="10" t="n">
        <v>5053.68</v>
      </c>
      <c r="H48" s="10" t="n">
        <v>1633.92</v>
      </c>
      <c r="I48" s="10" t="n">
        <v>4938.71</v>
      </c>
      <c r="J48" s="10" t="n">
        <v>1816.06</v>
      </c>
    </row>
    <row r="49">
      <c r="A49" s="11" t="inlineStr">
        <is>
          <t>Navarra</t>
        </is>
      </c>
      <c r="B49" s="10" t="n">
        <v>10616.14</v>
      </c>
      <c r="C49" s="10" t="n">
        <v>5154.73</v>
      </c>
      <c r="D49" s="10" t="n">
        <v>11179.25</v>
      </c>
      <c r="E49" s="10" t="n">
        <v>3521.68</v>
      </c>
      <c r="F49" s="10" t="n">
        <v>1288.06</v>
      </c>
      <c r="G49" s="10" t="n">
        <v>6589.65</v>
      </c>
      <c r="H49" s="10" t="n">
        <v>2943.17</v>
      </c>
      <c r="I49" s="10" t="n">
        <v>6521.65</v>
      </c>
      <c r="J49" s="10" t="n">
        <v>2483.03</v>
      </c>
    </row>
    <row r="50">
      <c r="A50" s="11" t="inlineStr">
        <is>
          <t>Alava</t>
        </is>
      </c>
      <c r="B50" s="10" t="n">
        <v>10542.64</v>
      </c>
      <c r="C50" s="10" t="n">
        <v>3714.91</v>
      </c>
      <c r="D50" s="10" t="n">
        <v>10014.07</v>
      </c>
      <c r="E50" s="10" t="n">
        <v>3001.49</v>
      </c>
      <c r="F50" s="10" t="n">
        <v>926.71</v>
      </c>
      <c r="G50" s="10" t="n">
        <v>4966.81</v>
      </c>
      <c r="H50" s="10" t="n">
        <v>2613.72</v>
      </c>
      <c r="I50" s="10" t="n">
        <v>5637.13</v>
      </c>
      <c r="J50" s="10" t="n">
        <v>1569.88</v>
      </c>
    </row>
    <row r="51">
      <c r="A51" s="11" t="inlineStr">
        <is>
          <t>Guipuzcua</t>
        </is>
      </c>
      <c r="B51" s="10" t="n">
        <v>10204.54</v>
      </c>
      <c r="C51" s="10" t="n">
        <v>4040.51</v>
      </c>
      <c r="D51" s="10" t="n">
        <v>10605.87</v>
      </c>
      <c r="E51" s="10" t="n">
        <v>2403.08</v>
      </c>
      <c r="F51" s="10" t="n">
        <v>983.5</v>
      </c>
      <c r="G51" s="10" t="n">
        <v>4799.54</v>
      </c>
      <c r="H51" s="10" t="n">
        <v>2689.84</v>
      </c>
      <c r="I51" s="10" t="n">
        <v>6430.13</v>
      </c>
      <c r="J51" s="10" t="n">
        <v>1745.26</v>
      </c>
    </row>
    <row r="52">
      <c r="A52" s="11" t="inlineStr">
        <is>
          <t>Vizcaya</t>
        </is>
      </c>
      <c r="B52" s="10" t="n">
        <v>10090.11</v>
      </c>
      <c r="C52" s="10" t="n">
        <v>4492.82</v>
      </c>
      <c r="D52" s="10" t="n">
        <v>10754.73</v>
      </c>
      <c r="E52" s="10" t="n">
        <v>2484.92</v>
      </c>
      <c r="F52" s="10" t="n">
        <v>1077.33</v>
      </c>
      <c r="G52" s="10" t="n">
        <v>5351.1</v>
      </c>
      <c r="H52" s="10" t="n">
        <v>2796.07</v>
      </c>
      <c r="I52" s="10" t="n">
        <v>6713.56</v>
      </c>
      <c r="J52" s="10" t="n">
        <v>2103.48</v>
      </c>
    </row>
    <row r="53">
      <c r="A53" s="11" t="inlineStr">
        <is>
          <t>LaRioja</t>
        </is>
      </c>
      <c r="B53" s="10" t="n">
        <v>10072.81</v>
      </c>
      <c r="C53" s="10" t="n">
        <v>3328.09</v>
      </c>
      <c r="D53" s="10" t="n">
        <v>8610.17</v>
      </c>
      <c r="E53" s="10" t="n">
        <v>2024.83</v>
      </c>
      <c r="F53" s="10" t="n">
        <v>867.66</v>
      </c>
      <c r="G53" s="10" t="n">
        <v>4281.52</v>
      </c>
      <c r="H53" s="10" t="n">
        <v>2010.58</v>
      </c>
      <c r="I53" s="10" t="n">
        <v>5122.49</v>
      </c>
      <c r="J53" s="10" t="n">
        <v>1933.26</v>
      </c>
    </row>
    <row r="54">
      <c r="A54" s="11" t="inlineStr">
        <is>
          <t>Ceuta_Melilla</t>
        </is>
      </c>
      <c r="B54" s="10" t="n">
        <v>10769.27</v>
      </c>
      <c r="C54" s="10" t="n">
        <v>3051.87</v>
      </c>
      <c r="D54" s="10" t="n">
        <v>5748.78</v>
      </c>
      <c r="E54" s="10" t="n">
        <v>1295.88</v>
      </c>
      <c r="F54" s="10" t="n">
        <v>431.43</v>
      </c>
      <c r="G54" s="10" t="n">
        <v>2200.79</v>
      </c>
      <c r="H54" s="10" t="n">
        <v>1300.74</v>
      </c>
      <c r="I54" s="10" t="n">
        <v>3590.31</v>
      </c>
      <c r="J54" s="10" t="n">
        <v>1033.48</v>
      </c>
    </row>
    <row r="55"/>
    <row r="56">
      <c r="A56" s="14" t="inlineStr">
        <is>
          <t>Turismo ~ Educación</t>
        </is>
      </c>
    </row>
    <row r="57">
      <c r="A57" s="2" t="inlineStr">
        <is>
          <t>b</t>
        </is>
      </c>
      <c r="B57" s="7">
        <f>SLOPE(I4:I54,H4:H54)</f>
        <v/>
      </c>
      <c r="C57" s="8" t="inlineStr">
        <is>
          <t>→ =PENDIENTE(I4:I54;H4:H54)</t>
        </is>
      </c>
    </row>
    <row r="58">
      <c r="A58" s="2" t="inlineStr">
        <is>
          <t>a</t>
        </is>
      </c>
      <c r="B58" s="7">
        <f>INTERCEPT(I4:I54,H4:H54)</f>
        <v/>
      </c>
      <c r="C58" s="8" t="inlineStr">
        <is>
          <t>→ =INTERSECCION.EJE(I4:I54;H4:H54)</t>
        </is>
      </c>
    </row>
    <row r="59">
      <c r="A59" s="2" t="inlineStr">
        <is>
          <t>r</t>
        </is>
      </c>
      <c r="B59" s="7">
        <f>CORREL(H4:H54,I4:I54)</f>
        <v/>
      </c>
      <c r="C59" s="8" t="inlineStr">
        <is>
          <t>→ =COEF.DE.CORREL(H4:H54;I4:I54)</t>
        </is>
      </c>
    </row>
    <row r="60">
      <c r="A60" s="2" t="inlineStr">
        <is>
          <t>R²</t>
        </is>
      </c>
      <c r="B60" s="7">
        <f>RSQ(I4:I54,H4:H54)</f>
        <v/>
      </c>
      <c r="C60" s="8" t="inlineStr">
        <is>
          <t>→ =COEFICIENTE.R2(I4:I54;H4:H54)</t>
        </is>
      </c>
    </row>
    <row r="61">
      <c r="A61" s="14" t="inlineStr">
        <is>
          <t>Turismo ~ Vivienda</t>
        </is>
      </c>
    </row>
    <row r="62">
      <c r="A62" s="2" t="inlineStr">
        <is>
          <t>b</t>
        </is>
      </c>
      <c r="B62" s="7">
        <f>SLOPE(I4:I54,D4:D54)</f>
        <v/>
      </c>
      <c r="C62" s="8" t="inlineStr">
        <is>
          <t>→ =PENDIENTE(I4:I54;D4:D54)</t>
        </is>
      </c>
    </row>
    <row r="63">
      <c r="A63" s="2" t="inlineStr">
        <is>
          <t>a</t>
        </is>
      </c>
      <c r="B63" s="7">
        <f>INTERCEPT(I4:I54,D4:D54)</f>
        <v/>
      </c>
      <c r="C63" s="8" t="inlineStr">
        <is>
          <t>→ =INTERSECCION.EJE(I4:I54;D4:D54)</t>
        </is>
      </c>
    </row>
    <row r="64">
      <c r="A64" s="2" t="inlineStr">
        <is>
          <t>r</t>
        </is>
      </c>
      <c r="B64" s="7">
        <f>CORREL(D4:D54,I4:I54)</f>
        <v/>
      </c>
      <c r="C64" s="8" t="inlineStr">
        <is>
          <t>→ =COEF.DE.CORREL(D4:D54;I4:I54)</t>
        </is>
      </c>
    </row>
    <row r="65">
      <c r="A65" s="2" t="inlineStr">
        <is>
          <t>R²</t>
        </is>
      </c>
      <c r="B65" s="7">
        <f>RSQ(I4:I54,D4:D54)</f>
        <v/>
      </c>
      <c r="C65" s="8" t="inlineStr">
        <is>
          <t>→ =COEFICIENTE.R2(I4:I54;D4:D54)</t>
        </is>
      </c>
    </row>
    <row r="66">
      <c r="A66" s="14" t="inlineStr">
        <is>
          <t>Vivienda ~ Alimentación</t>
        </is>
      </c>
    </row>
    <row r="67">
      <c r="A67" s="2" t="inlineStr">
        <is>
          <t>b</t>
        </is>
      </c>
      <c r="B67" s="7">
        <f>SLOPE(D4:D54,B4:B54)</f>
        <v/>
      </c>
      <c r="C67" s="8" t="inlineStr">
        <is>
          <t>→ =PENDIENTE(D4:D54;B4:B54)</t>
        </is>
      </c>
    </row>
    <row r="68">
      <c r="A68" s="2" t="inlineStr">
        <is>
          <t>a</t>
        </is>
      </c>
      <c r="B68" s="7">
        <f>INTERCEPT(D4:D54,B4:B54)</f>
        <v/>
      </c>
      <c r="C68" s="8" t="inlineStr">
        <is>
          <t>→ =INTERSECCION.EJE(D4:D54;B4:B54)</t>
        </is>
      </c>
    </row>
    <row r="69">
      <c r="A69" s="2" t="inlineStr">
        <is>
          <t>r</t>
        </is>
      </c>
      <c r="B69" s="7">
        <f>CORREL(B4:B54,D4:D54)</f>
        <v/>
      </c>
      <c r="C69" s="8" t="inlineStr">
        <is>
          <t>→ =COEF.DE.CORREL(B4:B54;D4:D54)</t>
        </is>
      </c>
    </row>
    <row r="70">
      <c r="A70" s="2" t="inlineStr">
        <is>
          <t>R²</t>
        </is>
      </c>
      <c r="B70" s="7">
        <f>RSQ(D4:D54,B4:B54)</f>
        <v/>
      </c>
      <c r="C70" s="8" t="inlineStr">
        <is>
          <t>→ =COEFICIENTE.R2(D4:D54;B4:B54)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3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4 · Ejercicios 1, 2 y 3</t>
        </is>
      </c>
    </row>
    <row r="2">
      <c r="A2" s="5" t="inlineStr">
        <is>
          <t>Encadenar tasas</t>
        </is>
      </c>
    </row>
    <row r="3"/>
    <row r="4">
      <c r="A4" s="14" t="inlineStr">
        <is>
          <t>Ejercicio 1 (base 2019)</t>
        </is>
      </c>
    </row>
    <row r="5">
      <c r="A5" s="2" t="inlineStr">
        <is>
          <t>2019</t>
        </is>
      </c>
      <c r="B5" s="18">
        <f>100</f>
        <v/>
      </c>
      <c r="C5" s="8" t="inlineStr">
        <is>
          <t>→ =100</t>
        </is>
      </c>
    </row>
    <row r="6">
      <c r="A6" s="2" t="inlineStr">
        <is>
          <t>2020</t>
        </is>
      </c>
      <c r="B6" s="18">
        <f>100*1.4</f>
        <v/>
      </c>
      <c r="C6" s="8" t="inlineStr">
        <is>
          <t>→ =100*1,4</t>
        </is>
      </c>
    </row>
    <row r="7">
      <c r="A7" s="2" t="inlineStr">
        <is>
          <t>2021</t>
        </is>
      </c>
      <c r="B7" s="18">
        <f>100*1.4*0.8</f>
        <v/>
      </c>
      <c r="C7" s="8" t="inlineStr">
        <is>
          <t>→ =100*1,4*0,8</t>
        </is>
      </c>
    </row>
    <row r="8">
      <c r="A8" s="2" t="inlineStr">
        <is>
          <t>2022</t>
        </is>
      </c>
      <c r="B8" s="18">
        <f>B7/1.15</f>
        <v/>
      </c>
      <c r="C8" s="8" t="inlineStr">
        <is>
          <t>→ =B7/1,15</t>
        </is>
      </c>
    </row>
    <row r="9"/>
    <row r="10">
      <c r="A10" s="14" t="inlineStr">
        <is>
          <t>Ejercicio 2 (base 2019)</t>
        </is>
      </c>
    </row>
    <row r="11">
      <c r="A11" s="2" t="inlineStr">
        <is>
          <t>2018</t>
        </is>
      </c>
      <c r="B11" s="18">
        <f>120/0.8</f>
        <v/>
      </c>
      <c r="C11" s="8" t="inlineStr">
        <is>
          <t>→ =120/0,8</t>
        </is>
      </c>
    </row>
    <row r="12">
      <c r="A12" s="2" t="inlineStr">
        <is>
          <t>2019</t>
        </is>
      </c>
      <c r="B12" s="18">
        <f>100</f>
        <v/>
      </c>
      <c r="C12" s="8" t="inlineStr">
        <is>
          <t>→ =100</t>
        </is>
      </c>
    </row>
    <row r="13">
      <c r="A13" s="2" t="inlineStr">
        <is>
          <t>2020</t>
        </is>
      </c>
      <c r="B13" s="18">
        <f>120</f>
        <v/>
      </c>
      <c r="C13" s="8" t="inlineStr">
        <is>
          <t>→ =120</t>
        </is>
      </c>
    </row>
    <row r="14">
      <c r="A14" s="2" t="inlineStr">
        <is>
          <t>2021</t>
        </is>
      </c>
      <c r="B14" s="18">
        <f>120/0.5</f>
        <v/>
      </c>
      <c r="C14" s="8" t="inlineStr">
        <is>
          <t>→ =120/0,5</t>
        </is>
      </c>
    </row>
    <row r="15"/>
    <row r="16">
      <c r="A16" s="14" t="inlineStr">
        <is>
          <t>Ejercicio 3 (base 2020)</t>
        </is>
      </c>
    </row>
    <row r="17">
      <c r="A17" s="15" t="inlineStr">
        <is>
          <t>Año</t>
        </is>
      </c>
      <c r="B17" s="15" t="inlineStr">
        <is>
          <t>Tasa</t>
        </is>
      </c>
      <c r="C17" s="15" t="inlineStr">
        <is>
          <t>Índice</t>
        </is>
      </c>
    </row>
    <row r="18">
      <c r="A18" s="11" t="n">
        <v>2020</v>
      </c>
      <c r="B18" s="27" t="n"/>
      <c r="C18" s="28" t="n">
        <v>100</v>
      </c>
    </row>
    <row r="19">
      <c r="A19" s="11" t="n">
        <v>2021</v>
      </c>
      <c r="B19" s="27" t="n">
        <v>0.09</v>
      </c>
      <c r="C19" s="28">
        <f>C18*(1+B19)</f>
        <v/>
      </c>
    </row>
    <row r="20">
      <c r="A20" s="11" t="n">
        <v>2022</v>
      </c>
      <c r="B20" s="27" t="n">
        <v>0.1</v>
      </c>
      <c r="C20" s="28">
        <f>C19*(1+B20)</f>
        <v/>
      </c>
    </row>
    <row r="21">
      <c r="A21" s="11" t="n">
        <v>2023</v>
      </c>
      <c r="B21" s="27" t="n">
        <v>-0.02</v>
      </c>
      <c r="C21" s="28">
        <f>C20*(1+B21)</f>
        <v/>
      </c>
    </row>
    <row r="22">
      <c r="A22" s="11" t="n">
        <v>2024</v>
      </c>
      <c r="B22" s="27" t="n">
        <v>0.08</v>
      </c>
      <c r="C22" s="28">
        <f>C21*(1+B22)</f>
        <v/>
      </c>
    </row>
    <row r="23">
      <c r="A23" s="11" t="n">
        <v>2025</v>
      </c>
      <c r="B23" s="27" t="n">
        <v>0.1</v>
      </c>
      <c r="C23" s="28">
        <f>C22*(1+B23)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4 · Ejercicios 4, 5 y 6</t>
        </is>
      </c>
    </row>
    <row r="2"/>
    <row r="3">
      <c r="A3" s="14" t="inlineStr">
        <is>
          <t>Ejercicio 4</t>
        </is>
      </c>
    </row>
    <row r="4">
      <c r="A4" s="2" t="inlineStr">
        <is>
          <t>Salario que mantendría el poder adquisitivo</t>
        </is>
      </c>
      <c r="B4" s="18">
        <f>433.45*1.035</f>
        <v/>
      </c>
      <c r="C4" s="8" t="inlineStr">
        <is>
          <t>→ =433,45*1,035</t>
        </is>
      </c>
    </row>
    <row r="5">
      <c r="A5" s="2" t="inlineStr">
        <is>
          <t>Salario 2024 en € de 2023</t>
        </is>
      </c>
      <c r="B5" s="18">
        <f>442.20/103.5*100</f>
        <v/>
      </c>
      <c r="C5" s="8" t="inlineStr">
        <is>
          <t>→ =442,20/103,5*100</t>
        </is>
      </c>
    </row>
    <row r="6">
      <c r="A6" s="2" t="inlineStr">
        <is>
          <t>Variación real</t>
        </is>
      </c>
      <c r="B6" s="20">
        <f>B5/433.45-1</f>
        <v/>
      </c>
      <c r="C6" s="8" t="inlineStr">
        <is>
          <t>→ =B5/433,45-1</t>
        </is>
      </c>
    </row>
    <row r="7"/>
    <row r="8">
      <c r="A8" s="14" t="inlineStr">
        <is>
          <t>Ejercicio 5</t>
        </is>
      </c>
    </row>
    <row r="9">
      <c r="A9" s="15" t="inlineStr">
        <is>
          <t>Año</t>
        </is>
      </c>
      <c r="B9" s="15" t="inlineStr">
        <is>
          <t>Inversión</t>
        </is>
      </c>
      <c r="C9" s="15" t="inlineStr">
        <is>
          <t>Tasa</t>
        </is>
      </c>
    </row>
    <row r="10">
      <c r="A10" s="11" t="n">
        <v>2020</v>
      </c>
      <c r="B10" s="10" t="n">
        <v>45000</v>
      </c>
      <c r="C10" s="29" t="n"/>
    </row>
    <row r="11">
      <c r="A11" s="11" t="n">
        <v>2021</v>
      </c>
      <c r="B11" s="10" t="n">
        <v>50400</v>
      </c>
      <c r="C11" s="29">
        <f>B11/B10-1</f>
        <v/>
      </c>
    </row>
    <row r="12">
      <c r="A12" s="11" t="n">
        <v>2022</v>
      </c>
      <c r="B12" s="10" t="n">
        <v>48300</v>
      </c>
      <c r="C12" s="29">
        <f>B12/B11-1</f>
        <v/>
      </c>
    </row>
    <row r="13">
      <c r="A13" s="11" t="n">
        <v>2023</v>
      </c>
      <c r="B13" s="10" t="n">
        <v>53130</v>
      </c>
      <c r="C13" s="29">
        <f>B13/B12-1</f>
        <v/>
      </c>
    </row>
    <row r="14">
      <c r="A14" s="11" t="n">
        <v>2024</v>
      </c>
      <c r="B14" s="10" t="n">
        <v>55786</v>
      </c>
      <c r="C14" s="29">
        <f>B14/B13-1</f>
        <v/>
      </c>
    </row>
    <row r="15"/>
    <row r="16">
      <c r="A16" s="14" t="inlineStr">
        <is>
          <t>Ejercicio 6</t>
        </is>
      </c>
    </row>
    <row r="17">
      <c r="A17" s="15" t="inlineStr">
        <is>
          <t>Año</t>
        </is>
      </c>
      <c r="B17" s="15" t="inlineStr">
        <is>
          <t>Producción</t>
        </is>
      </c>
      <c r="C17" s="15" t="inlineStr">
        <is>
          <t>Base 2020</t>
        </is>
      </c>
      <c r="D17" s="15" t="inlineStr">
        <is>
          <t>Base 2022</t>
        </is>
      </c>
    </row>
    <row r="18">
      <c r="A18" s="11" t="n">
        <v>2020</v>
      </c>
      <c r="B18" s="10" t="n">
        <v>120</v>
      </c>
      <c r="C18" s="16">
        <f>B18/$B$18*100</f>
        <v/>
      </c>
      <c r="D18" s="16">
        <f>C18/$C$20*100</f>
        <v/>
      </c>
    </row>
    <row r="19">
      <c r="A19" s="11" t="n">
        <v>2021</v>
      </c>
      <c r="B19" s="10" t="n">
        <v>135</v>
      </c>
      <c r="C19" s="16">
        <f>B19/$B$18*100</f>
        <v/>
      </c>
      <c r="D19" s="16">
        <f>C19/$C$20*100</f>
        <v/>
      </c>
    </row>
    <row r="20">
      <c r="A20" s="11" t="n">
        <v>2022</v>
      </c>
      <c r="B20" s="10" t="n">
        <v>150</v>
      </c>
      <c r="C20" s="16">
        <f>B20/$B$18*100</f>
        <v/>
      </c>
      <c r="D20" s="16">
        <f>C20/$C$20*100</f>
        <v/>
      </c>
    </row>
    <row r="21">
      <c r="A21" s="11" t="n">
        <v>2023</v>
      </c>
      <c r="B21" s="10" t="n">
        <v>165</v>
      </c>
      <c r="C21" s="16">
        <f>B21/$B$18*100</f>
        <v/>
      </c>
      <c r="D21" s="16">
        <f>C21/$C$20*100</f>
        <v/>
      </c>
    </row>
    <row r="22">
      <c r="A22" s="11" t="n">
        <v>2024</v>
      </c>
      <c r="B22" s="10" t="n">
        <v>180</v>
      </c>
      <c r="C22" s="16">
        <f>B22/$B$18*100</f>
        <v/>
      </c>
      <c r="D22" s="16">
        <f>C22/$C$20*100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4 · Ejercicios 7 y 8</t>
        </is>
      </c>
    </row>
    <row r="2"/>
    <row r="3">
      <c r="A3" s="15" t="inlineStr">
        <is>
          <t>Año</t>
        </is>
      </c>
      <c r="B3" s="15" t="inlineStr">
        <is>
          <t>Cantidad</t>
        </is>
      </c>
      <c r="C3" s="15" t="inlineStr">
        <is>
          <t>Precio</t>
        </is>
      </c>
      <c r="D3" s="15" t="inlineStr">
        <is>
          <t>Valor</t>
        </is>
      </c>
      <c r="E3" s="15" t="inlineStr">
        <is>
          <t>Índice valor</t>
        </is>
      </c>
    </row>
    <row r="4">
      <c r="A4" s="11" t="n">
        <v>2015</v>
      </c>
      <c r="B4" s="10" t="n">
        <v>8820</v>
      </c>
      <c r="C4" s="10" t="n">
        <v>14</v>
      </c>
      <c r="D4" s="16">
        <f>B4*C4</f>
        <v/>
      </c>
      <c r="E4" s="16">
        <f>D4/$D$4*100</f>
        <v/>
      </c>
    </row>
    <row r="5">
      <c r="A5" s="11" t="n">
        <v>2022</v>
      </c>
      <c r="B5" s="10" t="n">
        <v>9030</v>
      </c>
      <c r="C5" s="10" t="n">
        <v>18</v>
      </c>
      <c r="D5" s="16">
        <f>B5*C5</f>
        <v/>
      </c>
      <c r="E5" s="16">
        <f>D5/$D$4*100</f>
        <v/>
      </c>
    </row>
    <row r="6">
      <c r="A6" s="11" t="n">
        <v>2025</v>
      </c>
      <c r="B6" s="10" t="n">
        <v>9073</v>
      </c>
      <c r="C6" s="10" t="n">
        <v>20</v>
      </c>
      <c r="D6" s="16">
        <f>B6*C6</f>
        <v/>
      </c>
      <c r="E6" s="16">
        <f>D6/$D$4*100</f>
        <v/>
      </c>
    </row>
    <row r="7">
      <c r="A7" s="2" t="inlineStr">
        <is>
          <t>Tasa 2015-2022 cantidad</t>
        </is>
      </c>
      <c r="B7" s="20">
        <f>B5/B4-1</f>
        <v/>
      </c>
      <c r="C7" s="8" t="inlineStr">
        <is>
          <t>→ =B5/B4-1</t>
        </is>
      </c>
    </row>
    <row r="8">
      <c r="A8" s="2" t="inlineStr">
        <is>
          <t>Tasa 2022-2025 cantidad</t>
        </is>
      </c>
      <c r="B8" s="20">
        <f>B6/B5-1</f>
        <v/>
      </c>
      <c r="C8" s="8" t="inlineStr">
        <is>
          <t>→ =B6/B5-1</t>
        </is>
      </c>
    </row>
    <row r="9">
      <c r="A9" s="2" t="inlineStr">
        <is>
          <t>Anual 2015-2022 cantidad</t>
        </is>
      </c>
      <c r="B9" s="20">
        <f>(1+B7)^(1/7)-1</f>
        <v/>
      </c>
      <c r="C9" s="8" t="inlineStr">
        <is>
          <t>→ =(1+B7)^(1/7)-1</t>
        </is>
      </c>
    </row>
    <row r="10">
      <c r="A10" s="2" t="inlineStr">
        <is>
          <t>Anual 2022-2025 cantidad</t>
        </is>
      </c>
      <c r="B10" s="20">
        <f>(1+B8)^(1/3)-1</f>
        <v/>
      </c>
      <c r="C10" s="8" t="inlineStr">
        <is>
          <t>→ =(1+B8)^(1/3)-1</t>
        </is>
      </c>
    </row>
    <row r="11">
      <c r="A11" s="2" t="inlineStr">
        <is>
          <t>Tasa 2015-2022 precio</t>
        </is>
      </c>
      <c r="B11" s="20">
        <f>C5/C4-1</f>
        <v/>
      </c>
      <c r="C11" s="8" t="inlineStr">
        <is>
          <t>→ =C5/C4-1</t>
        </is>
      </c>
    </row>
    <row r="12">
      <c r="A12" s="2" t="inlineStr">
        <is>
          <t>Tasa 2022-2025 precio</t>
        </is>
      </c>
      <c r="B12" s="20">
        <f>C6/C5-1</f>
        <v/>
      </c>
      <c r="C12" s="8" t="inlineStr">
        <is>
          <t>→ =C6/C5-1</t>
        </is>
      </c>
    </row>
    <row r="13">
      <c r="A13" s="2" t="inlineStr">
        <is>
          <t>Anual 2015-2022 precio</t>
        </is>
      </c>
      <c r="B13" s="20">
        <f>(1+B11)^(1/7)-1</f>
        <v/>
      </c>
      <c r="C13" s="8" t="inlineStr">
        <is>
          <t>→ =(1+B11)^(1/7)-1</t>
        </is>
      </c>
    </row>
    <row r="14">
      <c r="A14" s="2" t="inlineStr">
        <is>
          <t>Anual 2022-2025 precio</t>
        </is>
      </c>
      <c r="B14" s="20">
        <f>(1+B12)^(1/3)-1</f>
        <v/>
      </c>
      <c r="C14" s="8" t="inlineStr">
        <is>
          <t>→ =(1+B12)^(1/3)-1</t>
        </is>
      </c>
    </row>
    <row r="15">
      <c r="A15" s="2" t="inlineStr">
        <is>
          <t>Tasa 2015-2022 valor</t>
        </is>
      </c>
      <c r="B15" s="20">
        <f>D5/D4-1</f>
        <v/>
      </c>
      <c r="C15" s="8" t="inlineStr">
        <is>
          <t>→ =D5/D4-1</t>
        </is>
      </c>
    </row>
    <row r="16">
      <c r="A16" s="2" t="inlineStr">
        <is>
          <t>Tasa 2022-2025 valor</t>
        </is>
      </c>
      <c r="B16" s="20">
        <f>D6/D5-1</f>
        <v/>
      </c>
      <c r="C16" s="8" t="inlineStr">
        <is>
          <t>→ =D6/D5-1</t>
        </is>
      </c>
    </row>
    <row r="17">
      <c r="A17" s="2" t="inlineStr">
        <is>
          <t>Anual 2015-2022 valor</t>
        </is>
      </c>
      <c r="B17" s="20">
        <f>(1+B15)^(1/7)-1</f>
        <v/>
      </c>
      <c r="C17" s="8" t="inlineStr">
        <is>
          <t>→ =(1+B15)^(1/7)-1</t>
        </is>
      </c>
    </row>
    <row r="18">
      <c r="A18" s="2" t="inlineStr">
        <is>
          <t>Anual 2022-2025 valor</t>
        </is>
      </c>
      <c r="B18" s="20">
        <f>(1+B16)^(1/3)-1</f>
        <v/>
      </c>
      <c r="C18" s="8" t="inlineStr">
        <is>
          <t>→ =(1+B16)^(1/3)-1</t>
        </is>
      </c>
    </row>
    <row r="19"/>
    <row r="20">
      <c r="A20" s="14" t="inlineStr">
        <is>
          <t>Ejercicio 8</t>
        </is>
      </c>
    </row>
    <row r="21">
      <c r="A21" s="15" t="inlineStr">
        <is>
          <t>Mes</t>
        </is>
      </c>
      <c r="B21" s="15" t="inlineStr">
        <is>
          <t>Tasa</t>
        </is>
      </c>
      <c r="C21" s="15" t="inlineStr">
        <is>
          <t>Índice (1+tasa)</t>
        </is>
      </c>
      <c r="D21" s="15" t="inlineStr">
        <is>
          <t>Valor (100 €)</t>
        </is>
      </c>
    </row>
    <row r="22">
      <c r="A22" s="11" t="inlineStr">
        <is>
          <t>Inicio</t>
        </is>
      </c>
      <c r="B22" s="10" t="n"/>
      <c r="C22" s="11" t="n"/>
      <c r="D22" s="11" t="n">
        <v>100</v>
      </c>
    </row>
    <row r="23">
      <c r="A23" s="11" t="inlineStr">
        <is>
          <t>Enero</t>
        </is>
      </c>
      <c r="B23" s="10" t="n">
        <v>0.05</v>
      </c>
      <c r="C23" s="16">
        <f>1+B23</f>
        <v/>
      </c>
      <c r="D23" s="16">
        <f>D22*C23</f>
        <v/>
      </c>
    </row>
    <row r="24">
      <c r="A24" s="11" t="inlineStr">
        <is>
          <t>Febrero</t>
        </is>
      </c>
      <c r="B24" s="10" t="n">
        <v>0.04</v>
      </c>
      <c r="C24" s="16">
        <f>1+B24</f>
        <v/>
      </c>
      <c r="D24" s="16">
        <f>D23*C24</f>
        <v/>
      </c>
    </row>
    <row r="25">
      <c r="A25" s="11" t="inlineStr">
        <is>
          <t>Marzo</t>
        </is>
      </c>
      <c r="B25" s="10" t="n">
        <v>0.03</v>
      </c>
      <c r="C25" s="16">
        <f>1+B25</f>
        <v/>
      </c>
      <c r="D25" s="16">
        <f>D24*C25</f>
        <v/>
      </c>
    </row>
    <row r="26">
      <c r="A26" s="2" t="inlineStr">
        <is>
          <t>Tasa trimestral</t>
        </is>
      </c>
      <c r="B26" s="20">
        <f>PRODUCT(C23:C25)-1</f>
        <v/>
      </c>
      <c r="C26" s="8" t="inlineStr">
        <is>
          <t>→ =PRODUCTO(C23:C25)-1</t>
        </is>
      </c>
    </row>
    <row r="27">
      <c r="A27" s="2" t="inlineStr">
        <is>
          <t>Tasa media mensual</t>
        </is>
      </c>
      <c r="B27" s="30">
        <f>GEOMEAN(C23:C25)-1</f>
        <v/>
      </c>
      <c r="C27" s="8" t="inlineStr">
        <is>
          <t>→ =MEDIA.GEOM(C23:C25)-1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2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4 · Ejercicio 9: Laspeyres, Paasche y Fisher</t>
        </is>
      </c>
    </row>
    <row r="2"/>
    <row r="3">
      <c r="A3" s="15" t="inlineStr">
        <is>
          <t>Producto</t>
        </is>
      </c>
      <c r="B3" s="15" t="inlineStr">
        <is>
          <t>p 2020</t>
        </is>
      </c>
      <c r="C3" s="15" t="inlineStr">
        <is>
          <t>q 2020</t>
        </is>
      </c>
      <c r="D3" s="15" t="inlineStr">
        <is>
          <t>p 2025</t>
        </is>
      </c>
      <c r="E3" s="15" t="inlineStr">
        <is>
          <t>q 2025</t>
        </is>
      </c>
      <c r="F3" s="15" t="inlineStr">
        <is>
          <t>pt·q0</t>
        </is>
      </c>
      <c r="G3" s="15" t="inlineStr">
        <is>
          <t>p0·q0</t>
        </is>
      </c>
      <c r="H3" s="15" t="inlineStr">
        <is>
          <t>pt·qt</t>
        </is>
      </c>
      <c r="I3" s="15" t="inlineStr">
        <is>
          <t>p0·qt</t>
        </is>
      </c>
    </row>
    <row r="4">
      <c r="A4" s="11" t="inlineStr">
        <is>
          <t>Pan</t>
        </is>
      </c>
      <c r="B4" s="10" t="n">
        <v>1.2</v>
      </c>
      <c r="C4" s="10" t="n">
        <v>300</v>
      </c>
      <c r="D4" s="10" t="n">
        <v>1.5</v>
      </c>
      <c r="E4" s="10" t="n">
        <v>280</v>
      </c>
      <c r="F4" s="16">
        <f>D4*C4</f>
        <v/>
      </c>
      <c r="G4" s="16">
        <f>B4*C4</f>
        <v/>
      </c>
      <c r="H4" s="16">
        <f>D4*E4</f>
        <v/>
      </c>
      <c r="I4" s="16">
        <f>B4*E4</f>
        <v/>
      </c>
    </row>
    <row r="5">
      <c r="A5" s="11" t="inlineStr">
        <is>
          <t>Leche</t>
        </is>
      </c>
      <c r="B5" s="10" t="n">
        <v>0.9</v>
      </c>
      <c r="C5" s="10" t="n">
        <v>200</v>
      </c>
      <c r="D5" s="10" t="n">
        <v>1.1</v>
      </c>
      <c r="E5" s="10" t="n">
        <v>210</v>
      </c>
      <c r="F5" s="16">
        <f>D5*C5</f>
        <v/>
      </c>
      <c r="G5" s="16">
        <f>B5*C5</f>
        <v/>
      </c>
      <c r="H5" s="16">
        <f>D5*E5</f>
        <v/>
      </c>
      <c r="I5" s="16">
        <f>B5*E5</f>
        <v/>
      </c>
    </row>
    <row r="6">
      <c r="A6" s="11" t="inlineStr">
        <is>
          <t>Huevos</t>
        </is>
      </c>
      <c r="B6" s="10" t="n">
        <v>2.5</v>
      </c>
      <c r="C6" s="10" t="n">
        <v>100</v>
      </c>
      <c r="D6" s="10" t="n">
        <v>3</v>
      </c>
      <c r="E6" s="10" t="n">
        <v>95</v>
      </c>
      <c r="F6" s="16">
        <f>D6*C6</f>
        <v/>
      </c>
      <c r="G6" s="16">
        <f>B6*C6</f>
        <v/>
      </c>
      <c r="H6" s="16">
        <f>D6*E6</f>
        <v/>
      </c>
      <c r="I6" s="16">
        <f>B6*E6</f>
        <v/>
      </c>
    </row>
    <row r="7">
      <c r="A7" s="11" t="inlineStr">
        <is>
          <t>Carne</t>
        </is>
      </c>
      <c r="B7" s="10" t="n">
        <v>8</v>
      </c>
      <c r="C7" s="10" t="n">
        <v>50</v>
      </c>
      <c r="D7" s="10" t="n">
        <v>9.5</v>
      </c>
      <c r="E7" s="10" t="n">
        <v>48</v>
      </c>
      <c r="F7" s="16">
        <f>D7*C7</f>
        <v/>
      </c>
      <c r="G7" s="16">
        <f>B7*C7</f>
        <v/>
      </c>
      <c r="H7" s="16">
        <f>D7*E7</f>
        <v/>
      </c>
      <c r="I7" s="16">
        <f>B7*E7</f>
        <v/>
      </c>
    </row>
    <row r="8">
      <c r="A8" s="11" t="inlineStr">
        <is>
          <t>Pescado</t>
        </is>
      </c>
      <c r="B8" s="10" t="n">
        <v>10</v>
      </c>
      <c r="C8" s="10" t="n">
        <v>40</v>
      </c>
      <c r="D8" s="10" t="n">
        <v>12</v>
      </c>
      <c r="E8" s="10" t="n">
        <v>38</v>
      </c>
      <c r="F8" s="16">
        <f>D8*C8</f>
        <v/>
      </c>
      <c r="G8" s="16">
        <f>B8*C8</f>
        <v/>
      </c>
      <c r="H8" s="16">
        <f>D8*E8</f>
        <v/>
      </c>
      <c r="I8" s="16">
        <f>B8*E8</f>
        <v/>
      </c>
    </row>
    <row r="9"/>
    <row r="10">
      <c r="A10" s="2" t="inlineStr">
        <is>
          <t>Laspeyres</t>
        </is>
      </c>
      <c r="B10" s="18">
        <f>SUMPRODUCT(D4:D8,C4:C8)/SUMPRODUCT(B4:B8,C4:C8)*100</f>
        <v/>
      </c>
      <c r="C10" s="8" t="inlineStr">
        <is>
          <t>→ =SUMAPRODUCTO(D4:D8;C4:C8)/SUMAPRODUCTO(B4:B8;C4:C8)*100</t>
        </is>
      </c>
    </row>
    <row r="11">
      <c r="A11" s="2" t="inlineStr">
        <is>
          <t>Paasche</t>
        </is>
      </c>
      <c r="B11" s="18">
        <f>SUMPRODUCT(D4:D8,E4:E8)/SUMPRODUCT(B4:B8,E4:E8)*100</f>
        <v/>
      </c>
      <c r="C11" s="8" t="inlineStr">
        <is>
          <t>→ =SUMAPRODUCTO(D4:D8;E4:E8)/SUMAPRODUCTO(B4:B8;E4:E8)*100</t>
        </is>
      </c>
    </row>
    <row r="12">
      <c r="A12" s="2" t="inlineStr">
        <is>
          <t>Fisher</t>
        </is>
      </c>
      <c r="B12" s="18">
        <f>SQRT(B10*B11)</f>
        <v/>
      </c>
      <c r="C12" s="8" t="inlineStr">
        <is>
          <t>→ =RAIZ(B10*B11)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4 · Ejercicios 10, 11 y 12</t>
        </is>
      </c>
    </row>
    <row r="2"/>
    <row r="3">
      <c r="A3" s="14" t="inlineStr">
        <is>
          <t>Ejercicio 10</t>
        </is>
      </c>
    </row>
    <row r="4">
      <c r="A4" s="15" t="inlineStr">
        <is>
          <t>Año</t>
        </is>
      </c>
      <c r="B4" s="15" t="inlineStr">
        <is>
          <t>Sueldo</t>
        </is>
      </c>
      <c r="C4" s="15" t="inlineStr">
        <is>
          <t>IPC 1990</t>
        </is>
      </c>
      <c r="D4" s="15" t="inlineStr">
        <is>
          <t>IPC 1992</t>
        </is>
      </c>
      <c r="E4" s="15" t="inlineStr">
        <is>
          <t>Sueldo real (1992)</t>
        </is>
      </c>
    </row>
    <row r="5">
      <c r="A5" s="11" t="n">
        <v>1992</v>
      </c>
      <c r="B5" s="10" t="n">
        <v>150000</v>
      </c>
      <c r="C5" s="10" t="n">
        <v>120</v>
      </c>
      <c r="D5" s="16">
        <f>C5/$C$5*100</f>
        <v/>
      </c>
      <c r="E5" s="16">
        <f>B5/D5*100</f>
        <v/>
      </c>
    </row>
    <row r="6">
      <c r="A6" s="11" t="n">
        <v>1993</v>
      </c>
      <c r="B6" s="10" t="n">
        <v>162000</v>
      </c>
      <c r="C6" s="10" t="n">
        <v>130.5</v>
      </c>
      <c r="D6" s="16">
        <f>C6/$C$5*100</f>
        <v/>
      </c>
      <c r="E6" s="16">
        <f>B6/D6*100</f>
        <v/>
      </c>
    </row>
    <row r="7">
      <c r="A7" s="11" t="n">
        <v>1994</v>
      </c>
      <c r="B7" s="10" t="n">
        <v>170000</v>
      </c>
      <c r="C7" s="10" t="n">
        <v>137.4</v>
      </c>
      <c r="D7" s="16">
        <f>C7/$C$5*100</f>
        <v/>
      </c>
      <c r="E7" s="16">
        <f>B7/D7*100</f>
        <v/>
      </c>
    </row>
    <row r="8">
      <c r="A8" s="11" t="n">
        <v>1995</v>
      </c>
      <c r="B8" s="10" t="n">
        <v>183000</v>
      </c>
      <c r="C8" s="10" t="n">
        <v>144</v>
      </c>
      <c r="D8" s="16">
        <f>C8/$C$5*100</f>
        <v/>
      </c>
      <c r="E8" s="16">
        <f>B8/D8*100</f>
        <v/>
      </c>
    </row>
    <row r="9">
      <c r="A9" s="11" t="n">
        <v>1996</v>
      </c>
      <c r="B9" s="10" t="n">
        <v>190000</v>
      </c>
      <c r="C9" s="10" t="n">
        <v>153.8</v>
      </c>
      <c r="D9" s="16">
        <f>C9/$C$5*100</f>
        <v/>
      </c>
      <c r="E9" s="16">
        <f>B9/D9*100</f>
        <v/>
      </c>
    </row>
    <row r="10">
      <c r="A10" s="2" t="inlineStr">
        <is>
          <t>Variación nominal 92-96</t>
        </is>
      </c>
      <c r="B10" s="20">
        <f>B9/B5-1</f>
        <v/>
      </c>
      <c r="C10" s="8" t="inlineStr">
        <is>
          <t>→ =B9/B5-1</t>
        </is>
      </c>
    </row>
    <row r="11">
      <c r="A11" s="2" t="inlineStr">
        <is>
          <t>Variación real 92-96</t>
        </is>
      </c>
      <c r="B11" s="20">
        <f>E9/E5-1</f>
        <v/>
      </c>
      <c r="C11" s="8" t="inlineStr">
        <is>
          <t>→ =E9/E5-1</t>
        </is>
      </c>
    </row>
    <row r="12"/>
    <row r="13">
      <c r="A13" s="14" t="inlineStr">
        <is>
          <t>Ejercicio 11</t>
        </is>
      </c>
    </row>
    <row r="14">
      <c r="A14" s="2" t="inlineStr">
        <is>
          <t>Alquiler 2021</t>
        </is>
      </c>
      <c r="B14" s="18">
        <f>1200*114/112</f>
        <v/>
      </c>
      <c r="C14" s="8" t="inlineStr">
        <is>
          <t>→ =1200*114/112</t>
        </is>
      </c>
    </row>
    <row r="15">
      <c r="A15" s="2" t="inlineStr">
        <is>
          <t>Alquiler 2022</t>
        </is>
      </c>
      <c r="B15" s="18">
        <f>1200*120/112</f>
        <v/>
      </c>
      <c r="C15" s="8" t="inlineStr">
        <is>
          <t>→ =1200*120/112</t>
        </is>
      </c>
    </row>
    <row r="16">
      <c r="A16" s="2" t="inlineStr">
        <is>
          <t>Equivalente en 2020 de 1300 € en 2022</t>
        </is>
      </c>
      <c r="B16" s="18">
        <f>1300*112/120</f>
        <v/>
      </c>
      <c r="C16" s="8" t="inlineStr">
        <is>
          <t>→ =1300*112/120</t>
        </is>
      </c>
    </row>
    <row r="17"/>
    <row r="18">
      <c r="A18" s="14" t="inlineStr">
        <is>
          <t>Ejercicio 12</t>
        </is>
      </c>
    </row>
    <row r="19">
      <c r="A19" s="15" t="inlineStr">
        <is>
          <t>Año</t>
        </is>
      </c>
      <c r="B19" s="15" t="inlineStr">
        <is>
          <t>SMI</t>
        </is>
      </c>
      <c r="C19" s="15" t="inlineStr">
        <is>
          <t>IPC</t>
        </is>
      </c>
      <c r="D19" s="15" t="inlineStr">
        <is>
          <t>SMI real (€ 2010)</t>
        </is>
      </c>
      <c r="E19" s="15" t="inlineStr">
        <is>
          <t>Índice real (2010=100)</t>
        </is>
      </c>
    </row>
    <row r="20">
      <c r="A20" s="11" t="n">
        <v>2010</v>
      </c>
      <c r="B20" s="10" t="n">
        <v>633.3</v>
      </c>
      <c r="C20" s="10" t="n">
        <v>105.63</v>
      </c>
      <c r="D20" s="16">
        <f>B20*$C$20/C20</f>
        <v/>
      </c>
      <c r="E20" s="16">
        <f>D20/$D$20*100</f>
        <v/>
      </c>
    </row>
    <row r="21">
      <c r="A21" s="11" t="n">
        <v>2011</v>
      </c>
      <c r="B21" s="10" t="n">
        <v>641.4</v>
      </c>
      <c r="C21" s="10" t="n">
        <v>109.01</v>
      </c>
      <c r="D21" s="16">
        <f>B21*$C$20/C21</f>
        <v/>
      </c>
      <c r="E21" s="16">
        <f>D21/$D$20*100</f>
        <v/>
      </c>
    </row>
    <row r="22">
      <c r="A22" s="11" t="n">
        <v>2012</v>
      </c>
      <c r="B22" s="10" t="n">
        <v>641.4</v>
      </c>
      <c r="C22" s="10" t="n">
        <v>111.67</v>
      </c>
      <c r="D22" s="16">
        <f>B22*$C$20/C22</f>
        <v/>
      </c>
      <c r="E22" s="16">
        <f>D22/$D$20*100</f>
        <v/>
      </c>
    </row>
    <row r="23">
      <c r="A23" s="11" t="n">
        <v>2013</v>
      </c>
      <c r="B23" s="10" t="n">
        <v>645.3</v>
      </c>
      <c r="C23" s="10" t="n">
        <v>113.25</v>
      </c>
      <c r="D23" s="16">
        <f>B23*$C$20/C23</f>
        <v/>
      </c>
      <c r="E23" s="16">
        <f>D23/$D$20*100</f>
        <v/>
      </c>
    </row>
    <row r="24">
      <c r="A24" s="11" t="n">
        <v>2014</v>
      </c>
      <c r="B24" s="10" t="n">
        <v>645.3</v>
      </c>
      <c r="C24" s="10" t="n">
        <v>113.08</v>
      </c>
      <c r="D24" s="16">
        <f>B24*$C$20/C24</f>
        <v/>
      </c>
      <c r="E24" s="16">
        <f>D24/$D$20*100</f>
        <v/>
      </c>
    </row>
    <row r="25">
      <c r="A25" s="11" t="n">
        <v>2015</v>
      </c>
      <c r="B25" s="10" t="n">
        <v>648.6</v>
      </c>
      <c r="C25" s="10" t="n">
        <v>112.52</v>
      </c>
      <c r="D25" s="16">
        <f>B25*$C$20/C25</f>
        <v/>
      </c>
      <c r="E25" s="16">
        <f>D25/$D$20*100</f>
        <v/>
      </c>
    </row>
    <row r="26">
      <c r="A26" s="11" t="n">
        <v>2016</v>
      </c>
      <c r="B26" s="10" t="n">
        <v>655.2</v>
      </c>
      <c r="C26" s="10" t="n">
        <v>112.29</v>
      </c>
      <c r="D26" s="16">
        <f>B26*$C$20/C26</f>
        <v/>
      </c>
      <c r="E26" s="16">
        <f>D26/$D$20*100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Tema 4 · Ejemplo de los apuntes: salarios e IPC 2015-2025</t>
        </is>
      </c>
    </row>
    <row r="2"/>
    <row r="3">
      <c r="A3" s="15" t="inlineStr">
        <is>
          <t>Año</t>
        </is>
      </c>
      <c r="B3" s="15" t="inlineStr">
        <is>
          <t>Salario</t>
        </is>
      </c>
      <c r="C3" s="15" t="inlineStr">
        <is>
          <t>IPC</t>
        </is>
      </c>
      <c r="D3" s="15" t="inlineStr">
        <is>
          <t>Salario real</t>
        </is>
      </c>
      <c r="E3" s="15" t="inlineStr">
        <is>
          <t>Índice nominal</t>
        </is>
      </c>
      <c r="F3" s="15" t="inlineStr">
        <is>
          <t>Índice real</t>
        </is>
      </c>
    </row>
    <row r="4">
      <c r="A4" s="11" t="n">
        <v>2015</v>
      </c>
      <c r="B4" s="10" t="n">
        <v>1500</v>
      </c>
      <c r="C4" s="10" t="n">
        <v>100</v>
      </c>
      <c r="D4" s="16">
        <f>B4/C4*100</f>
        <v/>
      </c>
      <c r="E4" s="16">
        <f>B4/$B$4*100</f>
        <v/>
      </c>
      <c r="F4" s="16">
        <f>D4/$D$4*100</f>
        <v/>
      </c>
    </row>
    <row r="5">
      <c r="A5" s="11" t="n">
        <v>2016</v>
      </c>
      <c r="B5" s="10" t="n">
        <v>1530</v>
      </c>
      <c r="C5" s="10" t="n">
        <v>101.2</v>
      </c>
      <c r="D5" s="16">
        <f>B5/C5*100</f>
        <v/>
      </c>
      <c r="E5" s="16">
        <f>B5/$B$4*100</f>
        <v/>
      </c>
      <c r="F5" s="16">
        <f>D5/$D$4*100</f>
        <v/>
      </c>
    </row>
    <row r="6">
      <c r="A6" s="11" t="n">
        <v>2017</v>
      </c>
      <c r="B6" s="10" t="n">
        <v>1570</v>
      </c>
      <c r="C6" s="10" t="n">
        <v>102.5</v>
      </c>
      <c r="D6" s="16">
        <f>B6/C6*100</f>
        <v/>
      </c>
      <c r="E6" s="16">
        <f>B6/$B$4*100</f>
        <v/>
      </c>
      <c r="F6" s="16">
        <f>D6/$D$4*100</f>
        <v/>
      </c>
    </row>
    <row r="7">
      <c r="A7" s="11" t="n">
        <v>2018</v>
      </c>
      <c r="B7" s="10" t="n">
        <v>1600</v>
      </c>
      <c r="C7" s="10" t="n">
        <v>104</v>
      </c>
      <c r="D7" s="16">
        <f>B7/C7*100</f>
        <v/>
      </c>
      <c r="E7" s="16">
        <f>B7/$B$4*100</f>
        <v/>
      </c>
      <c r="F7" s="16">
        <f>D7/$D$4*100</f>
        <v/>
      </c>
    </row>
    <row r="8">
      <c r="A8" s="11" t="n">
        <v>2019</v>
      </c>
      <c r="B8" s="10" t="n">
        <v>1650</v>
      </c>
      <c r="C8" s="10" t="n">
        <v>106</v>
      </c>
      <c r="D8" s="16">
        <f>B8/C8*100</f>
        <v/>
      </c>
      <c r="E8" s="16">
        <f>B8/$B$4*100</f>
        <v/>
      </c>
      <c r="F8" s="16">
        <f>D8/$D$4*100</f>
        <v/>
      </c>
    </row>
    <row r="9">
      <c r="A9" s="11" t="n">
        <v>2020</v>
      </c>
      <c r="B9" s="10" t="n">
        <v>1700</v>
      </c>
      <c r="C9" s="10" t="n">
        <v>108.5</v>
      </c>
      <c r="D9" s="16">
        <f>B9/C9*100</f>
        <v/>
      </c>
      <c r="E9" s="16">
        <f>B9/$B$4*100</f>
        <v/>
      </c>
      <c r="F9" s="16">
        <f>D9/$D$4*100</f>
        <v/>
      </c>
    </row>
    <row r="10">
      <c r="A10" s="11" t="n">
        <v>2021</v>
      </c>
      <c r="B10" s="10" t="n">
        <v>1750</v>
      </c>
      <c r="C10" s="10" t="n">
        <v>110.2</v>
      </c>
      <c r="D10" s="16">
        <f>B10/C10*100</f>
        <v/>
      </c>
      <c r="E10" s="16">
        <f>B10/$B$4*100</f>
        <v/>
      </c>
      <c r="F10" s="16">
        <f>D10/$D$4*100</f>
        <v/>
      </c>
    </row>
    <row r="11">
      <c r="A11" s="11" t="n">
        <v>2022</v>
      </c>
      <c r="B11" s="10" t="n">
        <v>1800</v>
      </c>
      <c r="C11" s="10" t="n">
        <v>112</v>
      </c>
      <c r="D11" s="16">
        <f>B11/C11*100</f>
        <v/>
      </c>
      <c r="E11" s="16">
        <f>B11/$B$4*100</f>
        <v/>
      </c>
      <c r="F11" s="16">
        <f>D11/$D$4*100</f>
        <v/>
      </c>
    </row>
    <row r="12">
      <c r="A12" s="11" t="n">
        <v>2023</v>
      </c>
      <c r="B12" s="10" t="n">
        <v>1850</v>
      </c>
      <c r="C12" s="10" t="n">
        <v>114.5</v>
      </c>
      <c r="D12" s="16">
        <f>B12/C12*100</f>
        <v/>
      </c>
      <c r="E12" s="16">
        <f>B12/$B$4*100</f>
        <v/>
      </c>
      <c r="F12" s="16">
        <f>D12/$D$4*100</f>
        <v/>
      </c>
    </row>
    <row r="13">
      <c r="A13" s="11" t="n">
        <v>2024</v>
      </c>
      <c r="B13" s="10" t="n">
        <v>1900</v>
      </c>
      <c r="C13" s="10" t="n">
        <v>117</v>
      </c>
      <c r="D13" s="16">
        <f>B13/C13*100</f>
        <v/>
      </c>
      <c r="E13" s="16">
        <f>B13/$B$4*100</f>
        <v/>
      </c>
      <c r="F13" s="16">
        <f>D13/$D$4*100</f>
        <v/>
      </c>
    </row>
    <row r="14">
      <c r="A14" s="11" t="n">
        <v>2025</v>
      </c>
      <c r="B14" s="10" t="n">
        <v>1950</v>
      </c>
      <c r="C14" s="10" t="n">
        <v>119</v>
      </c>
      <c r="D14" s="16">
        <f>B14/C14*100</f>
        <v/>
      </c>
      <c r="E14" s="16">
        <f>B14/$B$4*100</f>
        <v/>
      </c>
      <c r="F14" s="16">
        <f>D14/$D$4*100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8"/>
  <sheetViews>
    <sheetView zoomScale="11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Simulacro de examen · Datos (sin soluciones)</t>
        </is>
      </c>
    </row>
    <row r="2">
      <c r="A2" s="5" t="inlineStr">
        <is>
          <t>Enunciados en la guía del tutor. Copia esta hoja a un libro nuevo para hacerlo.</t>
        </is>
      </c>
    </row>
    <row r="3"/>
    <row r="4">
      <c r="A4" s="14" t="inlineStr">
        <is>
          <t>Pregunta 1: días de baja de 25 trabajadores</t>
        </is>
      </c>
    </row>
    <row r="5">
      <c r="A5" s="9" t="n">
        <v>0</v>
      </c>
    </row>
    <row r="6">
      <c r="A6" s="9" t="n">
        <v>2</v>
      </c>
    </row>
    <row r="7">
      <c r="A7" s="9" t="n">
        <v>1</v>
      </c>
    </row>
    <row r="8">
      <c r="A8" s="9" t="n">
        <v>0</v>
      </c>
    </row>
    <row r="9">
      <c r="A9" s="9" t="n">
        <v>3</v>
      </c>
    </row>
    <row r="10">
      <c r="A10" s="9" t="n">
        <v>1</v>
      </c>
    </row>
    <row r="11">
      <c r="A11" s="9" t="n">
        <v>0</v>
      </c>
    </row>
    <row r="12">
      <c r="A12" s="9" t="n">
        <v>0</v>
      </c>
    </row>
    <row r="13">
      <c r="A13" s="9" t="n">
        <v>2</v>
      </c>
    </row>
    <row r="14">
      <c r="A14" s="9" t="n">
        <v>5</v>
      </c>
    </row>
    <row r="15">
      <c r="A15" s="9" t="n">
        <v>1</v>
      </c>
    </row>
    <row r="16">
      <c r="A16" s="9" t="n">
        <v>0</v>
      </c>
    </row>
    <row r="17">
      <c r="A17" s="9" t="n">
        <v>1</v>
      </c>
    </row>
    <row r="18">
      <c r="A18" s="9" t="n">
        <v>2</v>
      </c>
    </row>
    <row r="19">
      <c r="A19" s="9" t="n">
        <v>0</v>
      </c>
    </row>
    <row r="20">
      <c r="A20" s="9" t="n">
        <v>9</v>
      </c>
    </row>
    <row r="21">
      <c r="A21" s="9" t="n">
        <v>1</v>
      </c>
    </row>
    <row r="22">
      <c r="A22" s="9" t="n">
        <v>0</v>
      </c>
    </row>
    <row r="23">
      <c r="A23" s="9" t="n">
        <v>3</v>
      </c>
    </row>
    <row r="24">
      <c r="A24" s="9" t="n">
        <v>1</v>
      </c>
    </row>
    <row r="25">
      <c r="A25" s="9" t="n">
        <v>2</v>
      </c>
    </row>
    <row r="26">
      <c r="A26" s="9" t="n">
        <v>0</v>
      </c>
    </row>
    <row r="27">
      <c r="A27" s="9" t="n">
        <v>1</v>
      </c>
    </row>
    <row r="28">
      <c r="A28" s="9" t="n">
        <v>4</v>
      </c>
    </row>
    <row r="29">
      <c r="A29" s="9" t="n">
        <v>0</v>
      </c>
    </row>
    <row r="30"/>
    <row r="31"/>
    <row r="32">
      <c r="A32" s="14" t="inlineStr">
        <is>
          <t>Pregunta 2: salario mensual</t>
        </is>
      </c>
    </row>
    <row r="33">
      <c r="A33" s="15" t="inlineStr">
        <is>
          <t>L inf</t>
        </is>
      </c>
      <c r="B33" s="15" t="inlineStr">
        <is>
          <t>L sup</t>
        </is>
      </c>
      <c r="C33" s="15" t="inlineStr">
        <is>
          <t>Nº empleados</t>
        </is>
      </c>
    </row>
    <row r="34">
      <c r="A34" s="11" t="n">
        <v>900</v>
      </c>
      <c r="B34" s="11" t="n">
        <v>1200</v>
      </c>
      <c r="C34" s="11" t="n">
        <v>12</v>
      </c>
    </row>
    <row r="35">
      <c r="A35" s="11" t="n">
        <v>1200</v>
      </c>
      <c r="B35" s="11" t="n">
        <v>1500</v>
      </c>
      <c r="C35" s="11" t="n">
        <v>30</v>
      </c>
    </row>
    <row r="36">
      <c r="A36" s="11" t="n">
        <v>1500</v>
      </c>
      <c r="B36" s="11" t="n">
        <v>1800</v>
      </c>
      <c r="C36" s="11" t="n">
        <v>38</v>
      </c>
    </row>
    <row r="37">
      <c r="A37" s="11" t="n">
        <v>1800</v>
      </c>
      <c r="B37" s="11" t="n">
        <v>2400</v>
      </c>
      <c r="C37" s="11" t="n">
        <v>24</v>
      </c>
    </row>
    <row r="38">
      <c r="A38" s="11" t="n">
        <v>2400</v>
      </c>
      <c r="B38" s="11" t="n">
        <v>3600</v>
      </c>
      <c r="C38" s="11" t="n">
        <v>6</v>
      </c>
    </row>
    <row r="39"/>
    <row r="40">
      <c r="A40" s="14" t="inlineStr">
        <is>
          <t>Pregunta 3: turno × satisfacción</t>
        </is>
      </c>
    </row>
    <row r="41">
      <c r="A41" s="15" t="inlineStr">
        <is>
          <t>Turno</t>
        </is>
      </c>
      <c r="B41" s="15" t="inlineStr">
        <is>
          <t>Alta</t>
        </is>
      </c>
      <c r="C41" s="15" t="inlineStr">
        <is>
          <t>Media</t>
        </is>
      </c>
      <c r="D41" s="15" t="inlineStr">
        <is>
          <t>Baja</t>
        </is>
      </c>
    </row>
    <row r="42">
      <c r="A42" s="11" t="inlineStr">
        <is>
          <t>Mañana</t>
        </is>
      </c>
      <c r="B42" s="11" t="n">
        <v>18</v>
      </c>
      <c r="C42" s="11" t="n">
        <v>22</v>
      </c>
      <c r="D42" s="11" t="n">
        <v>10</v>
      </c>
    </row>
    <row r="43">
      <c r="A43" s="11" t="inlineStr">
        <is>
          <t>Tarde</t>
        </is>
      </c>
      <c r="B43" s="11" t="n">
        <v>12</v>
      </c>
      <c r="C43" s="11" t="n">
        <v>20</v>
      </c>
      <c r="D43" s="11" t="n">
        <v>18</v>
      </c>
    </row>
    <row r="44">
      <c r="A44" s="11" t="inlineStr">
        <is>
          <t>Noche</t>
        </is>
      </c>
      <c r="B44" s="11" t="n">
        <v>6</v>
      </c>
      <c r="C44" s="11" t="n">
        <v>10</v>
      </c>
      <c r="D44" s="11" t="n">
        <v>24</v>
      </c>
    </row>
    <row r="45"/>
    <row r="46">
      <c r="A46" s="14" t="inlineStr">
        <is>
          <t>Pregunta 4: horas de formación (X) y productividad (Y)</t>
        </is>
      </c>
    </row>
    <row r="47">
      <c r="A47" s="15" t="inlineStr">
        <is>
          <t>X</t>
        </is>
      </c>
      <c r="B47" s="15" t="inlineStr">
        <is>
          <t>Y</t>
        </is>
      </c>
    </row>
    <row r="48">
      <c r="A48" s="11" t="n">
        <v>5</v>
      </c>
      <c r="B48" s="11" t="n">
        <v>62</v>
      </c>
    </row>
    <row r="49">
      <c r="A49" s="11" t="n">
        <v>8</v>
      </c>
      <c r="B49" s="11" t="n">
        <v>65</v>
      </c>
    </row>
    <row r="50">
      <c r="A50" s="11" t="n">
        <v>10</v>
      </c>
      <c r="B50" s="11" t="n">
        <v>70</v>
      </c>
    </row>
    <row r="51">
      <c r="A51" s="11" t="n">
        <v>12</v>
      </c>
      <c r="B51" s="11" t="n">
        <v>71</v>
      </c>
    </row>
    <row r="52">
      <c r="A52" s="11" t="n">
        <v>15</v>
      </c>
      <c r="B52" s="11" t="n">
        <v>76</v>
      </c>
    </row>
    <row r="53">
      <c r="A53" s="11" t="n">
        <v>18</v>
      </c>
      <c r="B53" s="11" t="n">
        <v>80</v>
      </c>
    </row>
    <row r="54">
      <c r="A54" s="11" t="n">
        <v>20</v>
      </c>
      <c r="B54" s="11" t="n">
        <v>79</v>
      </c>
    </row>
    <row r="55">
      <c r="A55" s="11" t="n">
        <v>25</v>
      </c>
      <c r="B55" s="11" t="n">
        <v>88</v>
      </c>
    </row>
    <row r="56"/>
    <row r="57">
      <c r="A57" s="14" t="inlineStr">
        <is>
          <t>Pregunta 5a: cesta</t>
        </is>
      </c>
    </row>
    <row r="58">
      <c r="A58" s="15" t="inlineStr">
        <is>
          <t>Producto</t>
        </is>
      </c>
      <c r="B58" s="15" t="inlineStr">
        <is>
          <t>p 2020</t>
        </is>
      </c>
      <c r="C58" s="15" t="inlineStr">
        <is>
          <t>q 2020</t>
        </is>
      </c>
      <c r="D58" s="15" t="inlineStr">
        <is>
          <t>p 2025</t>
        </is>
      </c>
      <c r="E58" s="15" t="inlineStr">
        <is>
          <t>q 2025</t>
        </is>
      </c>
    </row>
    <row r="59">
      <c r="A59" s="11" t="inlineStr">
        <is>
          <t>A</t>
        </is>
      </c>
      <c r="B59" s="11" t="n">
        <v>2</v>
      </c>
      <c r="C59" s="11" t="n">
        <v>50</v>
      </c>
      <c r="D59" s="11" t="n">
        <v>2.4</v>
      </c>
      <c r="E59" s="11" t="n">
        <v>45</v>
      </c>
    </row>
    <row r="60">
      <c r="A60" s="11" t="inlineStr">
        <is>
          <t>B</t>
        </is>
      </c>
      <c r="B60" s="11" t="n">
        <v>5</v>
      </c>
      <c r="C60" s="11" t="n">
        <v>20</v>
      </c>
      <c r="D60" s="11" t="n">
        <v>5.5</v>
      </c>
      <c r="E60" s="11" t="n">
        <v>22</v>
      </c>
    </row>
    <row r="61">
      <c r="A61" s="11" t="inlineStr">
        <is>
          <t>C</t>
        </is>
      </c>
      <c r="B61" s="11" t="n">
        <v>1.5</v>
      </c>
      <c r="C61" s="11" t="n">
        <v>80</v>
      </c>
      <c r="D61" s="11" t="n">
        <v>1.8</v>
      </c>
      <c r="E61" s="11" t="n">
        <v>70</v>
      </c>
    </row>
    <row r="62"/>
    <row r="63">
      <c r="A63" s="14" t="inlineStr">
        <is>
          <t>Pregunta 5b: salario e IPC</t>
        </is>
      </c>
    </row>
    <row r="64">
      <c r="A64" s="15" t="inlineStr">
        <is>
          <t>Año</t>
        </is>
      </c>
      <c r="B64" s="15" t="inlineStr">
        <is>
          <t>Salario</t>
        </is>
      </c>
      <c r="C64" s="15" t="inlineStr">
        <is>
          <t>IPC (2022=100)</t>
        </is>
      </c>
    </row>
    <row r="65">
      <c r="A65" s="11" t="n">
        <v>2022</v>
      </c>
      <c r="B65" s="11" t="n">
        <v>1600</v>
      </c>
      <c r="C65" s="11" t="n">
        <v>100</v>
      </c>
    </row>
    <row r="66">
      <c r="A66" s="11" t="n">
        <v>2023</v>
      </c>
      <c r="B66" s="11" t="n">
        <v>1650</v>
      </c>
      <c r="C66" s="11" t="n">
        <v>103.1</v>
      </c>
    </row>
    <row r="67">
      <c r="A67" s="11" t="n">
        <v>2024</v>
      </c>
      <c r="B67" s="11" t="n">
        <v>1720</v>
      </c>
      <c r="C67" s="11" t="n">
        <v>107.4</v>
      </c>
    </row>
    <row r="68">
      <c r="A68" s="11" t="n">
        <v>2025</v>
      </c>
      <c r="B68" s="11" t="n">
        <v>1780</v>
      </c>
      <c r="C68" s="11" t="n">
        <v>110.2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2026-10-03T00:29:12Z</dcterms:created>
  <dcterms:modified xmlns:dcterms="http://purl.org/dc/terms/" xmlns:xsi="http://www.w3.org/2001/XMLSchema-instance" xsi:type="dcterms:W3CDTF">2026-10-03T12:29:39Z</dcterms:modified>
</cp:coreProperties>
</file>