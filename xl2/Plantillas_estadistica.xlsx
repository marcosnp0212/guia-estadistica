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Traductor" sheetId="2" state="visible" r:id="rId2"/>
    <sheet xmlns:r="http://schemas.openxmlformats.org/officeDocument/2006/relationships" name="A_Discreta" sheetId="3" state="visible" r:id="rId3"/>
    <sheet xmlns:r="http://schemas.openxmlformats.org/officeDocument/2006/relationships" name="B_Tabla_valores" sheetId="4" state="visible" r:id="rId4"/>
    <sheet xmlns:r="http://schemas.openxmlformats.org/officeDocument/2006/relationships" name="C_Intervalos" sheetId="5" state="visible" r:id="rId5"/>
    <sheet xmlns:r="http://schemas.openxmlformats.org/officeDocument/2006/relationships" name="D_Grupos" sheetId="6" state="visible" r:id="rId6"/>
    <sheet xmlns:r="http://schemas.openxmlformats.org/officeDocument/2006/relationships" name="E_Transformacion" sheetId="7" state="visible" r:id="rId7"/>
    <sheet xmlns:r="http://schemas.openxmlformats.org/officeDocument/2006/relationships" name="F_Doble_entrada" sheetId="8" state="visible" r:id="rId8"/>
    <sheet xmlns:r="http://schemas.openxmlformats.org/officeDocument/2006/relationships" name="G_Regresion" sheetId="9" state="visible" r:id="rId9"/>
    <sheet xmlns:r="http://schemas.openxmlformats.org/officeDocument/2006/relationships" name="H_Reg_resumen" sheetId="10" state="visible" r:id="rId10"/>
    <sheet xmlns:r="http://schemas.openxmlformats.org/officeDocument/2006/relationships" name="I_Indices" sheetId="11" state="visible" r:id="rId11"/>
    <sheet xmlns:r="http://schemas.openxmlformats.org/officeDocument/2006/relationships" name="J_Tasas" sheetId="12" state="visible" r:id="rId12"/>
    <sheet xmlns:r="http://schemas.openxmlformats.org/officeDocument/2006/relationships" name="K_Laspeyres" sheetId="13" state="visible" r:id="rId13"/>
    <sheet xmlns:r="http://schemas.openxmlformats.org/officeDocument/2006/relationships" name="L_Deflacta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0.000%"/>
    <numFmt numFmtId="167" formatCode="0.0000%"/>
  </numFmts>
  <fonts count="16">
    <font>
      <name val="Calibri"/>
      <family val="2"/>
      <color theme="1"/>
      <sz val="11"/>
      <scheme val="minor"/>
    </font>
    <font>
      <b val="1"/>
      <color rgb="001F2A30"/>
      <sz val="15"/>
    </font>
    <font>
      <i val="1"/>
      <color rgb="004F5D65"/>
    </font>
    <font>
      <b val="1"/>
      <color rgb="001F2A30"/>
    </font>
    <font>
      <b val="1"/>
      <color rgb="00FFFFFF"/>
    </font>
    <font>
      <name val="Consolas"/>
      <color rgb="001D6F42"/>
      <sz val="9"/>
    </font>
    <font>
      <b val="1"/>
      <color rgb="00FFFFFF"/>
      <sz val="15"/>
    </font>
    <font>
      <color rgb="006B5800"/>
      <sz val="10"/>
    </font>
    <font>
      <color rgb="007A878E"/>
      <sz val="9"/>
    </font>
    <font>
      <b val="1"/>
    </font>
    <font>
      <b val="1"/>
      <color rgb="006B5800"/>
    </font>
    <font>
      <i val="1"/>
      <color rgb="007A878E"/>
      <sz val="9"/>
    </font>
    <font>
      <b val="1"/>
      <color rgb="000F8A68"/>
    </font>
    <font>
      <b val="1"/>
      <color rgb="001F2A30"/>
      <sz val="18"/>
    </font>
    <font>
      <sz val="11"/>
    </font>
    <font>
      <color rgb="000563C1"/>
      <u val="single"/>
    </font>
  </fonts>
  <fills count="10">
    <fill>
      <patternFill/>
    </fill>
    <fill>
      <patternFill patternType="gray125"/>
    </fill>
    <fill>
      <patternFill patternType="solid">
        <fgColor rgb="00DDE5EA"/>
      </patternFill>
    </fill>
    <fill>
      <patternFill patternType="solid">
        <fgColor rgb="005B6B78"/>
      </patternFill>
    </fill>
    <fill>
      <patternFill patternType="solid">
        <fgColor rgb="002F5FD0"/>
      </patternFill>
    </fill>
    <fill>
      <patternFill patternType="solid">
        <fgColor rgb="00FFF4C2"/>
      </patternFill>
    </fill>
    <fill>
      <patternFill patternType="solid">
        <fgColor rgb="00E2F2EA"/>
      </patternFill>
    </fill>
    <fill>
      <patternFill patternType="solid">
        <fgColor rgb="000F8A68"/>
      </patternFill>
    </fill>
    <fill>
      <patternFill patternType="solid">
        <fgColor rgb="00C2185B"/>
      </patternFill>
    </fill>
    <fill>
      <patternFill patternType="solid">
        <fgColor rgb="00A86F00"/>
      </patternFill>
    </fill>
  </fills>
  <borders count="2">
    <border>
      <left/>
      <right/>
      <top/>
      <bottom/>
      <diagonal/>
    </border>
    <border>
      <left style="thin">
        <color rgb="00B7C2C8"/>
      </left>
      <right style="thin">
        <color rgb="00B7C2C8"/>
      </right>
      <top style="thin">
        <color rgb="00B7C2C8"/>
      </top>
      <bottom style="thin">
        <color rgb="00B7C2C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3" fillId="2" borderId="1" applyAlignment="1" pivotButton="0" quotePrefix="0" xfId="0">
      <alignment horizontal="center" wrapText="1"/>
    </xf>
    <xf numFmtId="0" fontId="15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0" applyAlignment="1" pivotButton="0" quotePrefix="0" xfId="0">
      <alignment vertical="center"/>
    </xf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9" fillId="0" borderId="0" pivotButton="0" quotePrefix="0" xfId="0"/>
    <xf numFmtId="0" fontId="0" fillId="5" borderId="1" pivotButton="0" quotePrefix="0" xfId="0"/>
    <xf numFmtId="1" fontId="0" fillId="6" borderId="0" pivotButton="0" quotePrefix="0" xfId="0"/>
    <xf numFmtId="164" fontId="0" fillId="6" borderId="0" pivotButton="0" quotePrefix="0" xfId="0"/>
    <xf numFmtId="2" fontId="0" fillId="6" borderId="0" pivotButton="0" quotePrefix="0" xfId="0"/>
    <xf numFmtId="1" fontId="9" fillId="6" borderId="1" pivotButton="0" quotePrefix="0" xfId="0"/>
    <xf numFmtId="164" fontId="9" fillId="6" borderId="1" pivotButton="0" quotePrefix="0" xfId="0"/>
    <xf numFmtId="0" fontId="11" fillId="0" borderId="0" pivotButton="0" quotePrefix="0" xfId="0"/>
    <xf numFmtId="0" fontId="0" fillId="6" borderId="0" pivotButton="0" quotePrefix="0" xfId="0"/>
    <xf numFmtId="0" fontId="9" fillId="6" borderId="1" pivotButton="0" quotePrefix="0" xfId="0"/>
    <xf numFmtId="10" fontId="9" fillId="6" borderId="1" pivotButton="0" quotePrefix="0" xfId="0"/>
    <xf numFmtId="0" fontId="6" fillId="7" borderId="0" applyAlignment="1" pivotButton="0" quotePrefix="0" xfId="0">
      <alignment vertical="center"/>
    </xf>
    <xf numFmtId="0" fontId="0" fillId="7" borderId="0" pivotButton="0" quotePrefix="0" xfId="0"/>
    <xf numFmtId="0" fontId="12" fillId="0" borderId="0" pivotButton="0" quotePrefix="0" xfId="0"/>
    <xf numFmtId="165" fontId="0" fillId="6" borderId="0" pivotButton="0" quotePrefix="0" xfId="0"/>
    <xf numFmtId="0" fontId="6" fillId="8" borderId="0" applyAlignment="1" pivotButton="0" quotePrefix="0" xfId="0">
      <alignment vertical="center"/>
    </xf>
    <xf numFmtId="0" fontId="0" fillId="8" borderId="0" pivotButton="0" quotePrefix="0" xfId="0"/>
    <xf numFmtId="0" fontId="6" fillId="9" borderId="0" applyAlignment="1" pivotButton="0" quotePrefix="0" xfId="0">
      <alignment vertical="center"/>
    </xf>
    <xf numFmtId="0" fontId="0" fillId="9" borderId="0" pivotButton="0" quotePrefix="0" xfId="0"/>
    <xf numFmtId="10" fontId="0" fillId="6" borderId="0" pivotButton="0" quotePrefix="0" xfId="0"/>
    <xf numFmtId="166" fontId="9" fillId="6" borderId="1" pivotButton="0" quotePrefix="0" xfId="0"/>
    <xf numFmtId="10" fontId="0" fillId="5" borderId="1" pivotButton="0" quotePrefix="0" xfId="0"/>
    <xf numFmtId="10" fontId="0" fillId="5" borderId="0" pivotButton="0" quotePrefix="0" xfId="0"/>
    <xf numFmtId="167" fontId="9" fillId="6" borderId="1" pivotButton="0" quotePrefix="0" xfId="0"/>
    <xf numFmtId="2" fontId="9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4" customWidth="1" min="3" max="3"/>
    <col width="60" customWidth="1" min="4" max="4"/>
  </cols>
  <sheetData>
    <row r="1"/>
    <row r="2">
      <c r="B2" s="1" t="inlineStr">
        <is>
          <t>Plantillas de estadística</t>
        </is>
      </c>
    </row>
    <row r="3"/>
    <row r="4">
      <c r="B4" s="2" t="inlineStr">
        <is>
          <t>Calculadoras listas: pegas los datos del ejercicio en las celdas amarillas y los resultados salen en las verdes.</t>
        </is>
      </c>
    </row>
    <row r="5">
      <c r="B5" s="2" t="inlineStr">
        <is>
          <t>Úsalas para COMPROBAR lo que haces tú. En el examen, solo si la profesora permite llevar archivos propios.</t>
        </is>
      </c>
    </row>
    <row r="6">
      <c r="B6" s="2" t="inlineStr">
        <is>
          <t>Para cada hoja: primero lee la frase de la fila 3. Si algo sale #N/A o #¡DIV/0!, revisa que los datos estén en las columnas correctas.</t>
        </is>
      </c>
    </row>
    <row r="7">
      <c r="B7" s="2" t="inlineStr">
        <is>
          <t>Empieza por la hoja «Traductor»: te dice qué plantilla usar según lo que diga el enunciado.</t>
        </is>
      </c>
    </row>
    <row r="8"/>
    <row r="9">
      <c r="B9" s="3" t="inlineStr">
        <is>
          <t>Hoja</t>
        </is>
      </c>
      <c r="C9" s="3" t="inlineStr">
        <is>
          <t>Para qué</t>
        </is>
      </c>
      <c r="D9" s="3" t="inlineStr">
        <is>
          <t>Cómo</t>
        </is>
      </c>
    </row>
    <row r="10">
      <c r="B10" s="4" t="inlineStr">
        <is>
          <t>Traductor</t>
        </is>
      </c>
      <c r="C10" t="inlineStr">
        <is>
          <t>¿Qué me están pidiendo?</t>
        </is>
      </c>
      <c r="D10" s="5" t="inlineStr">
        <is>
          <t>Frases típicas del enunciado → qué calcular</t>
        </is>
      </c>
    </row>
    <row r="11">
      <c r="B11" s="4" t="inlineStr">
        <is>
          <t>A_Discreta</t>
        </is>
      </c>
      <c r="C11" t="inlineStr">
        <is>
          <t>A · Datos sueltos (una variable)</t>
        </is>
      </c>
      <c r="D11" s="5" t="inlineStr">
        <is>
          <t>Pega tus datos en la columna A (desde A7). Calcula tabla de frecuencias y todas las medidas.</t>
        </is>
      </c>
    </row>
    <row r="12">
      <c r="B12" s="4" t="inlineStr">
        <is>
          <t>B_Tabla_valores</t>
        </is>
      </c>
      <c r="C12" t="inlineStr">
        <is>
          <t>B · Tabla de valores y frecuencias</t>
        </is>
      </c>
      <c r="D12" s="5" t="inlineStr">
        <is>
          <t>Cuando te dan la tabla (valores xᵢ y sus frecuencias nᵢ) en vez de los datos sueltos.</t>
        </is>
      </c>
    </row>
    <row r="13">
      <c r="B13" s="4" t="inlineStr">
        <is>
          <t>C_Intervalos</t>
        </is>
      </c>
      <c r="C13" t="inlineStr">
        <is>
          <t>C · Datos agrupados en intervalos</t>
        </is>
      </c>
      <c r="D13" s="5" t="inlineStr">
        <is>
          <t>Escribe el extremo inferior, el superior y la frecuencia de cada intervalo (en orden).</t>
        </is>
      </c>
    </row>
    <row r="14">
      <c r="B14" s="4" t="inlineStr">
        <is>
          <t>D_Grupos</t>
        </is>
      </c>
      <c r="C14" t="inlineStr">
        <is>
          <t>D · Grupos: media global y varianza dentro / entre</t>
        </is>
      </c>
      <c r="D14" s="5" t="inlineStr">
        <is>
          <t>Para cada grupo: tamaño, media y desviación típica O varianza (rellena una de las dos).</t>
        </is>
      </c>
    </row>
    <row r="15">
      <c r="B15" s="4" t="inlineStr">
        <is>
          <t>E_Transformacion</t>
        </is>
      </c>
      <c r="C15" t="inlineStr">
        <is>
          <t>E · Cambios de origen y escala (Y = a·X + b)</t>
        </is>
      </c>
      <c r="D15" s="5" t="inlineStr">
        <is>
          <t>Qué pasa con la media y la varianza si todos los datos se multiplican por a y se les suma b.</t>
        </is>
      </c>
    </row>
    <row r="16">
      <c r="B16" s="4" t="inlineStr">
        <is>
          <t>F_Doble_entrada</t>
        </is>
      </c>
      <c r="C16" t="inlineStr">
        <is>
          <t>F · Tabla de doble entrada</t>
        </is>
      </c>
      <c r="D16" s="5" t="inlineStr">
        <is>
          <t>Escribe los nombres de filas (A8:A13) y columnas (B7:G7) y las frecuencias.</t>
        </is>
      </c>
    </row>
    <row r="17">
      <c r="B17" s="4" t="inlineStr">
        <is>
          <t>G_Regresion</t>
        </is>
      </c>
      <c r="C17" t="inlineStr">
        <is>
          <t>G · Regresión y correlación con datos</t>
        </is>
      </c>
      <c r="D17" s="5" t="inlineStr">
        <is>
          <t>Pega X en la columna A y Y en la B (desde la fila 7). Hasta 500 pares.</t>
        </is>
      </c>
    </row>
    <row r="18">
      <c r="B18" s="4" t="inlineStr">
        <is>
          <t>H_Reg_resumen</t>
        </is>
      </c>
      <c r="C18" t="inlineStr">
        <is>
          <t>H · Regresión a partir de resúmenes</t>
        </is>
      </c>
      <c r="D18" s="5" t="inlineStr">
        <is>
          <t>Cuando no te dan los datos sino medias, desviaciones y covarianza (o r).</t>
        </is>
      </c>
    </row>
    <row r="19">
      <c r="B19" s="4" t="inlineStr">
        <is>
          <t>I_Indices</t>
        </is>
      </c>
      <c r="C19" t="inlineStr">
        <is>
          <t>I · Serie temporal: índices y tasas</t>
        </is>
      </c>
      <c r="D19" s="5" t="inlineStr">
        <is>
          <t>Años en A y valores en B (desde la fila 7, en orden). Elige el año base en F5.</t>
        </is>
      </c>
    </row>
    <row r="20">
      <c r="B20" s="4" t="inlineStr">
        <is>
          <t>J_Tasas</t>
        </is>
      </c>
      <c r="C20" t="inlineStr">
        <is>
          <t>J · Tasas encadenadas y equivalentes</t>
        </is>
      </c>
      <c r="D20" s="5" t="inlineStr">
        <is>
          <t>Escribe las tasas de cada periodo en B (como 5 % o 0,05; negativas para bajadas).</t>
        </is>
      </c>
    </row>
    <row r="21">
      <c r="B21" s="4" t="inlineStr">
        <is>
          <t>K_Laspeyres</t>
        </is>
      </c>
      <c r="C21" t="inlineStr">
        <is>
          <t>K · Laspeyres, Paasche y Fisher</t>
        </is>
      </c>
      <c r="D21" s="5" t="inlineStr">
        <is>
          <t>Por producto: precio y cantidad en el año base (0) y en el año actual (t).</t>
        </is>
      </c>
    </row>
    <row r="22">
      <c r="B22" s="4" t="inlineStr">
        <is>
          <t>L_Deflactar</t>
        </is>
      </c>
      <c r="C22" t="inlineStr">
        <is>
          <t>L · Deflactar con el IPC (valores reales)</t>
        </is>
      </c>
      <c r="D22" s="5" t="inlineStr">
        <is>
          <t>Años en A, valores nominales (salario, alquiler…) en B e IPC en C. Elige el año de referencia en H5.</t>
        </is>
      </c>
    </row>
  </sheetData>
  <hyperlinks>
    <hyperlink ref="B10" location="'Traductor'!A1"/>
    <hyperlink ref="B11" location="'A_Discreta'!A1"/>
    <hyperlink ref="B12" location="'B_Tabla_valores'!A1"/>
    <hyperlink ref="B13" location="'C_Intervalos'!A1"/>
    <hyperlink ref="B14" location="'D_Grupos'!A1"/>
    <hyperlink ref="B15" location="'E_Transformacion'!A1"/>
    <hyperlink ref="B16" location="'F_Doble_entrada'!A1"/>
    <hyperlink ref="B17" location="'G_Regresion'!A1"/>
    <hyperlink ref="B18" location="'H_Reg_resumen'!A1"/>
    <hyperlink ref="B19" location="'I_Indices'!A1"/>
    <hyperlink ref="B20" location="'J_Tasas'!A1"/>
    <hyperlink ref="B21" location="'K_Laspeyres'!A1"/>
    <hyperlink ref="B22" location="'L_Deflactar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A30"/>
    <outlinePr summaryBelow="1" summaryRight="1"/>
    <pageSetUpPr/>
  </sheetPr>
  <dimension ref="A1:D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0" customWidth="1" min="3" max="3"/>
    <col width="18" customWidth="1" min="4" max="4"/>
  </cols>
  <sheetData>
    <row r="1">
      <c r="A1" s="6" t="inlineStr">
        <is>
          <t>¿Qué me están pidiendo?  Traductor de enunciados</t>
        </is>
      </c>
    </row>
    <row r="2">
      <c r="A2" s="7" t="inlineStr">
        <is>
          <t>Busca en el enunciado una frase parecida (Ctrl + B para buscar) y mira qué hay que calcular y con qué.</t>
        </is>
      </c>
    </row>
    <row r="3"/>
    <row r="4">
      <c r="A4" s="3" t="inlineStr">
        <is>
          <t>Si el enunciado dice…</t>
        </is>
      </c>
      <c r="B4" s="3" t="inlineStr">
        <is>
          <t>Te están pidiendo…</t>
        </is>
      </c>
      <c r="C4" s="3" t="inlineStr">
        <is>
          <t>En Excel</t>
        </is>
      </c>
      <c r="D4" s="3" t="inlineStr">
        <is>
          <t>Plantilla</t>
        </is>
      </c>
    </row>
    <row r="5">
      <c r="A5" s="8" t="inlineStr">
        <is>
          <t>TEMA 1 · UNA VARIABLE</t>
        </is>
      </c>
      <c r="B5" s="9" t="n"/>
      <c r="C5" s="9" t="n"/>
      <c r="D5" s="9" t="n"/>
    </row>
    <row r="6">
      <c r="A6" s="10" t="inlineStr">
        <is>
          <t>"valor medio", "promedio", "por término medio"</t>
        </is>
      </c>
      <c r="B6" s="10" t="inlineStr">
        <is>
          <t>Media</t>
        </is>
      </c>
      <c r="C6" s="11" t="inlineStr">
        <is>
          <t>=PROMEDIO(datos) · tabla: SUMAPRODUCTO(x;n)/SUMA(n)</t>
        </is>
      </c>
      <c r="D6" s="10" t="inlineStr">
        <is>
          <t>A_Discreta / C_Intervalos</t>
        </is>
      </c>
    </row>
    <row r="7">
      <c r="A7" s="10" t="inlineStr">
        <is>
          <t>"el más frecuente", "el más habitual", "el que más se repite"</t>
        </is>
      </c>
      <c r="B7" s="10" t="inlineStr">
        <is>
          <t>Moda (con intervalos de distinta amplitud: por densidad)</t>
        </is>
      </c>
      <c r="C7" s="11" t="inlineStr">
        <is>
          <t>=MODA.UNO(datos) · intervalos: fórmula de la moda</t>
        </is>
      </c>
      <c r="D7" s="10" t="inlineStr">
        <is>
          <t>C_Intervalos</t>
        </is>
      </c>
    </row>
    <row r="8">
      <c r="A8" s="10" t="inlineStr">
        <is>
          <t>"el valor central", "la mitad tiene menos de…", "deja el 50 % por debajo"</t>
        </is>
      </c>
      <c r="B8" s="10" t="inlineStr">
        <is>
          <t>Mediana</t>
        </is>
      </c>
      <c r="C8" s="11" t="inlineStr">
        <is>
          <t>=MEDIANA(datos) · tabla: primera Nᵢ ≥ n/2</t>
        </is>
      </c>
      <c r="D8" s="10" t="inlineStr">
        <is>
          <t>B_Tabla_valores</t>
        </is>
      </c>
    </row>
    <row r="9">
      <c r="A9" s="10" t="inlineStr">
        <is>
          <t>"el 25 % que menos…", "a partir de cuánto se está en el 25 % inferior"</t>
        </is>
      </c>
      <c r="B9" s="10" t="inlineStr">
        <is>
          <t>Primer cuartil (P25)</t>
        </is>
      </c>
      <c r="C9" s="11" t="inlineStr">
        <is>
          <t>=CUARTIL.INC(datos;1)</t>
        </is>
      </c>
      <c r="D9" s="10" t="inlineStr">
        <is>
          <t>A / B / C</t>
        </is>
      </c>
    </row>
    <row r="10">
      <c r="A10" s="10" t="inlineStr">
        <is>
          <t>"el 25 % que más…", "estar entre el 25 % que más gasta"</t>
        </is>
      </c>
      <c r="B10" s="10" t="inlineStr">
        <is>
          <t>Tercer cuartil (P75)</t>
        </is>
      </c>
      <c r="C10" s="11" t="inlineStr">
        <is>
          <t>=CUARTIL.INC(datos;3)</t>
        </is>
      </c>
      <c r="D10" s="10" t="inlineStr">
        <is>
          <t>A / B / C</t>
        </is>
      </c>
    </row>
    <row r="11">
      <c r="A11" s="10" t="inlineStr">
        <is>
          <t>"el X % que más…", "estar en el X % superior"</t>
        </is>
      </c>
      <c r="B11" s="10" t="inlineStr">
        <is>
          <t>Percentil 100 − X</t>
        </is>
      </c>
      <c r="C11" s="11" t="inlineStr">
        <is>
          <t>=PERCENTIL.INC(datos;(100−X)/100)</t>
        </is>
      </c>
      <c r="D11" s="10" t="inlineStr">
        <is>
          <t>A / B / C</t>
        </is>
      </c>
    </row>
    <row r="12">
      <c r="A12" s="10" t="inlineStr">
        <is>
          <t>"el X % que menos…", "como mucho para estar en el X % inferior"</t>
        </is>
      </c>
      <c r="B12" s="10" t="inlineStr">
        <is>
          <t>Percentil X</t>
        </is>
      </c>
      <c r="C12" s="11" t="inlineStr">
        <is>
          <t>=PERCENTIL.INC(datos;X/100)</t>
        </is>
      </c>
      <c r="D12" s="10" t="inlineStr">
        <is>
          <t>A / B / C</t>
        </is>
      </c>
    </row>
    <row r="13">
      <c r="A13" s="10" t="inlineStr">
        <is>
          <t>"entre qué valores está el 50 % central"</t>
        </is>
      </c>
      <c r="B13" s="10" t="inlineStr">
        <is>
          <t>C₁ y C₃</t>
        </is>
      </c>
      <c r="C13" s="11" t="inlineStr">
        <is>
          <t>CUARTIL.INC 1 y 3</t>
        </is>
      </c>
      <c r="D13" s="10" t="inlineStr">
        <is>
          <t>A / B / C</t>
        </is>
      </c>
    </row>
    <row r="14">
      <c r="A14" s="10" t="inlineStr">
        <is>
          <t>"entre qué valores está el X % central"</t>
        </is>
      </c>
      <c r="B14" s="10" t="inlineStr">
        <is>
          <t>P(50−X/2) y P(50+X/2)  (30 % central: P35 y P65)</t>
        </is>
      </c>
      <c r="C14" s="11" t="inlineStr">
        <is>
          <t>PERCENTIL.INC</t>
        </is>
      </c>
      <c r="D14" s="10" t="inlineStr">
        <is>
          <t>C_Intervalos</t>
        </is>
      </c>
    </row>
    <row r="15">
      <c r="A15" s="10" t="inlineStr">
        <is>
          <t>"cuántos tienen más de k" / "al menos k" / "menos de k"</t>
        </is>
      </c>
      <c r="B15" s="10" t="inlineStr">
        <is>
          <t>"más de" NO incluye k; "al menos" SÍ lo incluye</t>
        </is>
      </c>
      <c r="C15" s="11" t="inlineStr">
        <is>
          <t>=CONTAR.SI(datos;"&gt;k") · "&gt;=k" · "&lt;k"</t>
        </is>
      </c>
      <c r="D15" s="10" t="inlineStr">
        <is>
          <t>A_Discreta</t>
        </is>
      </c>
    </row>
    <row r="16">
      <c r="A16" s="10" t="inlineStr">
        <is>
          <t>"dispersión", "variabilidad absoluta", "cuánto se separan"</t>
        </is>
      </c>
      <c r="B16" s="10" t="inlineStr">
        <is>
          <t>Varianza o desviación típica</t>
        </is>
      </c>
      <c r="C16" s="11" t="inlineStr">
        <is>
          <t>=VAR.P · =DESVEST.P</t>
        </is>
      </c>
      <c r="D16" s="10" t="inlineStr">
        <is>
          <t>A / B / C</t>
        </is>
      </c>
    </row>
    <row r="17">
      <c r="A17" s="10" t="inlineStr">
        <is>
          <t>"más homogéneo", "más representativa la media", "variabilidad relativa", comparar grupos con medias distintas</t>
        </is>
      </c>
      <c r="B17" s="10" t="inlineStr">
        <is>
          <t>Coeficiente de variación (el MENOR es el más homogéneo)</t>
        </is>
      </c>
      <c r="C17" s="11" t="inlineStr">
        <is>
          <t>=DESVEST.P/PROMEDIO</t>
        </is>
      </c>
      <c r="D17" s="10" t="inlineStr">
        <is>
          <t>A / C / D_Grupos</t>
        </is>
      </c>
    </row>
    <row r="18">
      <c r="A18" s="10" t="inlineStr">
        <is>
          <t>"cuasivarianza", "varianza muestral corregida"</t>
        </is>
      </c>
      <c r="B18" s="10" t="inlineStr">
        <is>
          <t>Cuasivarianza (divide entre n − 1)</t>
        </is>
      </c>
      <c r="C18" s="11" t="inlineStr">
        <is>
          <t>=VAR.S · =DESVEST.S</t>
        </is>
      </c>
      <c r="D18" s="10" t="inlineStr">
        <is>
          <t>A_Discreta</t>
        </is>
      </c>
    </row>
    <row r="19">
      <c r="A19" s="10" t="inlineStr">
        <is>
          <t>"forma", "simétrica", "cola"</t>
        </is>
      </c>
      <c r="B19" s="10" t="inlineStr">
        <is>
          <t>Coeficiente de asimetría (signo)</t>
        </is>
      </c>
      <c r="C19" s="11" t="inlineStr">
        <is>
          <t>=COEFICIENTE.ASIMETRIA.P</t>
        </is>
      </c>
      <c r="D19" s="10" t="inlineStr">
        <is>
          <t>A_Discreta</t>
        </is>
      </c>
    </row>
    <row r="20">
      <c r="A20" s="10" t="inlineStr">
        <is>
          <t>"picuda", "aplanada", "apuntamiento"</t>
        </is>
      </c>
      <c r="B20" s="10" t="inlineStr">
        <is>
          <t>Curtosis (signo)</t>
        </is>
      </c>
      <c r="C20" s="11" t="inlineStr">
        <is>
          <t>=CURTOSIS</t>
        </is>
      </c>
      <c r="D20" s="10" t="inlineStr">
        <is>
          <t>A_Discreta</t>
        </is>
      </c>
    </row>
    <row r="21">
      <c r="A21" s="10" t="inlineStr">
        <is>
          <t>"valores atípicos", "outliers", "diagrama de caja"</t>
        </is>
      </c>
      <c r="B21" s="10" t="inlineStr">
        <is>
          <t>Límites C₁ − 1,5·IQR y C₃ + 1,5·IQR</t>
        </is>
      </c>
      <c r="C21" s="11" t="inlineStr">
        <is>
          <t>Fórmula con CUARTIL.INC</t>
        </is>
      </c>
      <c r="D21" s="10" t="inlineStr">
        <is>
          <t>A_Discreta</t>
        </is>
      </c>
    </row>
    <row r="22">
      <c r="A22" s="10" t="inlineStr">
        <is>
          <t>"comparar la posición de alguien en dos grupos distintos"</t>
        </is>
      </c>
      <c r="B22" s="10" t="inlineStr">
        <is>
          <t>Tipificar: z = (x − media)/S</t>
        </is>
      </c>
      <c r="C22" s="11" t="inlineStr">
        <is>
          <t>=NORMALIZACION(x;media;S)</t>
        </is>
      </c>
      <c r="D22" s="10" t="inlineStr">
        <is>
          <t>—</t>
        </is>
      </c>
    </row>
    <row r="23">
      <c r="A23" s="10" t="inlineStr">
        <is>
          <t>"media de todos" a partir de medias de grupos de distinto tamaño</t>
        </is>
      </c>
      <c r="B23" s="10" t="inlineStr">
        <is>
          <t>Media ponderada</t>
        </is>
      </c>
      <c r="C23" s="11" t="inlineStr">
        <is>
          <t>=SUMAPRODUCTO(medias;tamaños)/SUMA(tamaños)</t>
        </is>
      </c>
      <c r="D23" s="10" t="inlineStr">
        <is>
          <t>D_Grupos</t>
        </is>
      </c>
    </row>
    <row r="24">
      <c r="A24" s="10" t="inlineStr">
        <is>
          <t>"varianza de toda la empresa" a partir de grupos</t>
        </is>
      </c>
      <c r="B24" s="10" t="inlineStr">
        <is>
          <t>Varianza dentro + varianza entre</t>
        </is>
      </c>
      <c r="C24" s="11" t="inlineStr">
        <is>
          <t>—</t>
        </is>
      </c>
      <c r="D24" s="10" t="inlineStr">
        <is>
          <t>D_Grupos</t>
        </is>
      </c>
    </row>
    <row r="25">
      <c r="A25" s="10" t="inlineStr">
        <is>
          <t>"% de la variabilidad debido a las diferencias entre grupos", "desigualdad"</t>
        </is>
      </c>
      <c r="B25" s="10" t="inlineStr">
        <is>
          <t>Varianza entre ÷ varianza total</t>
        </is>
      </c>
      <c r="C25" s="11" t="inlineStr">
        <is>
          <t>—</t>
        </is>
      </c>
      <c r="D25" s="10" t="inlineStr">
        <is>
          <t>D_Grupos</t>
        </is>
      </c>
    </row>
    <row r="26">
      <c r="A26" s="10" t="inlineStr">
        <is>
          <t>"todos suben X €" / "suben un X %" ¿qué pasa con media y varianza?</t>
        </is>
      </c>
      <c r="B26" s="10" t="inlineStr">
        <is>
          <t>Sumar: media + X, varianza igual. Multiplicar por a: media·a, varianza·a²</t>
        </is>
      </c>
      <c r="C26" s="11" t="inlineStr">
        <is>
          <t>—</t>
        </is>
      </c>
      <c r="D26" s="10" t="inlineStr">
        <is>
          <t>E_Transformacion</t>
        </is>
      </c>
    </row>
    <row r="27">
      <c r="A27" s="10" t="inlineStr">
        <is>
          <t>"sin calcularlo, indica qué pasa…"</t>
        </is>
      </c>
      <c r="B27" s="10" t="inlineStr">
        <is>
          <t>Reglas de cambio de origen y escala (arriba)</t>
        </is>
      </c>
      <c r="C27" s="11" t="inlineStr">
        <is>
          <t>—</t>
        </is>
      </c>
      <c r="D27" s="10" t="inlineStr">
        <is>
          <t>E_Transformacion</t>
        </is>
      </c>
    </row>
    <row r="28">
      <c r="A28" s="8" t="inlineStr">
        <is>
          <t>TEMA 2 · DOS VARIABLES</t>
        </is>
      </c>
      <c r="B28" s="9" t="n"/>
      <c r="C28" s="9" t="n"/>
      <c r="D28" s="9" t="n"/>
    </row>
    <row r="29">
      <c r="A29" s="10" t="inlineStr">
        <is>
          <t>"distribución marginal de X"</t>
        </is>
      </c>
      <c r="B29" s="10" t="inlineStr">
        <is>
          <t>Los totales de las filas (o de las columnas para Y)</t>
        </is>
      </c>
      <c r="C29" s="11" t="inlineStr">
        <is>
          <t>=SUMA(fila)</t>
        </is>
      </c>
      <c r="D29" s="10" t="inlineStr">
        <is>
          <t>F_Doble_entrada</t>
        </is>
      </c>
    </row>
    <row r="30">
      <c r="A30" s="10" t="inlineStr">
        <is>
          <t>"distribución de Y condicionada a X = …", "de los que…, ¿qué %…?"</t>
        </is>
      </c>
      <c r="B30" s="10" t="inlineStr">
        <is>
          <t>Esa fila (o columna) dividida entre SU total</t>
        </is>
      </c>
      <c r="C30" s="11" t="inlineStr">
        <is>
          <t>=casilla/total de la fila</t>
        </is>
      </c>
      <c r="D30" s="10" t="inlineStr">
        <is>
          <t>F_Doble_entrada</t>
        </is>
      </c>
    </row>
    <row r="31">
      <c r="A31" s="10" t="inlineStr">
        <is>
          <t>"¿son independientes?", "¿influye X en Y?", "¿depende…?"</t>
        </is>
      </c>
      <c r="B31" s="10" t="inlineStr">
        <is>
          <t>Comparar fᵢⱼ con fᵢ.·f.ⱼ en todas las casillas</t>
        </is>
      </c>
      <c r="C31" s="11" t="inlineStr">
        <is>
          <t>—</t>
        </is>
      </c>
      <c r="D31" s="10" t="inlineStr">
        <is>
          <t>F_Doble_entrada</t>
        </is>
      </c>
    </row>
    <row r="32">
      <c r="A32" s="10" t="inlineStr">
        <is>
          <t>"frecuencias relativas" de una tabla de doble entrada</t>
        </is>
      </c>
      <c r="B32" s="10" t="inlineStr">
        <is>
          <t>Cada casilla ÷ n</t>
        </is>
      </c>
      <c r="C32" s="11" t="inlineStr">
        <is>
          <t>=casilla/$total$</t>
        </is>
      </c>
      <c r="D32" s="10" t="inlineStr">
        <is>
          <t>F_Doble_entrada</t>
        </is>
      </c>
    </row>
    <row r="33">
      <c r="A33" s="8" t="inlineStr">
        <is>
          <t>TEMA 3 · REGRESIÓN</t>
        </is>
      </c>
      <c r="B33" s="9" t="n"/>
      <c r="C33" s="9" t="n"/>
      <c r="D33" s="9" t="n"/>
    </row>
    <row r="34">
      <c r="A34" s="10" t="inlineStr">
        <is>
          <t>"recta que explica Y a partir de X", "Y en función de X"</t>
        </is>
      </c>
      <c r="B34" s="10" t="inlineStr">
        <is>
          <t>Recta de Y sobre X: Ŷ = a + b·X</t>
        </is>
      </c>
      <c r="C34" s="11" t="inlineStr">
        <is>
          <t>=PENDIENTE(Y;X) · =INTERSECCION.EJE(Y;X)</t>
        </is>
      </c>
      <c r="D34" s="10" t="inlineStr">
        <is>
          <t>G_Regresion</t>
        </is>
      </c>
    </row>
    <row r="35">
      <c r="A35" s="10" t="inlineStr">
        <is>
          <t>"cuánto cambia Y por cada unidad de X"</t>
        </is>
      </c>
      <c r="B35" s="10" t="inlineStr">
        <is>
          <t>La pendiente b</t>
        </is>
      </c>
      <c r="C35" s="11" t="inlineStr">
        <is>
          <t>=PENDIENTE(Y;X)</t>
        </is>
      </c>
      <c r="D35" s="10" t="inlineStr">
        <is>
          <t>G / H</t>
        </is>
      </c>
    </row>
    <row r="36">
      <c r="A36" s="10" t="inlineStr">
        <is>
          <t>"grado de relación lineal", "intensidad y sentido"</t>
        </is>
      </c>
      <c r="B36" s="10" t="inlineStr">
        <is>
          <t>Correlación r</t>
        </is>
      </c>
      <c r="C36" s="11" t="inlineStr">
        <is>
          <t>=COEF.DE.CORREL(X;Y)</t>
        </is>
      </c>
      <c r="D36" s="10" t="inlineStr">
        <is>
          <t>G / H</t>
        </is>
      </c>
    </row>
    <row r="37">
      <c r="A37" s="10" t="inlineStr">
        <is>
          <t>"bondad del ajuste", "% explicado", "fiabilidad de la recta"</t>
        </is>
      </c>
      <c r="B37" s="10" t="inlineStr">
        <is>
          <t>R² (en %)</t>
        </is>
      </c>
      <c r="C37" s="11" t="inlineStr">
        <is>
          <t>=COEFICIENTE.R2(Y;X)</t>
        </is>
      </c>
      <c r="D37" s="10" t="inlineStr">
        <is>
          <t>G / H</t>
        </is>
      </c>
    </row>
    <row r="38">
      <c r="A38" s="10" t="inlineStr">
        <is>
          <t>"% NO explicado"</t>
        </is>
      </c>
      <c r="B38" s="10" t="inlineStr">
        <is>
          <t>1 − R²</t>
        </is>
      </c>
      <c r="C38" s="11" t="inlineStr">
        <is>
          <t>—</t>
        </is>
      </c>
      <c r="D38" s="10" t="inlineStr">
        <is>
          <t>G / H</t>
        </is>
      </c>
    </row>
    <row r="39">
      <c r="A39" s="10" t="inlineStr">
        <is>
          <t>"¿cuánto se espera de Y si X vale…?", "estima", "predice"</t>
        </is>
      </c>
      <c r="B39" s="10" t="inlineStr">
        <is>
          <t>Sustituir X en la recta</t>
        </is>
      </c>
      <c r="C39" s="11" t="inlineStr">
        <is>
          <t>=PRONOSTICO.LINEAL(x;Y;X)</t>
        </is>
      </c>
      <c r="D39" s="10" t="inlineStr">
        <is>
          <t>G / H</t>
        </is>
      </c>
    </row>
    <row r="40">
      <c r="A40" s="10" t="inlineStr">
        <is>
          <t>"variación conjunta", "¿relación directa o inversa?"</t>
        </is>
      </c>
      <c r="B40" s="10" t="inlineStr">
        <is>
          <t>Covarianza (signo)</t>
        </is>
      </c>
      <c r="C40" s="11" t="inlineStr">
        <is>
          <t>=COVARIANZA.P(X;Y)</t>
        </is>
      </c>
      <c r="D40" s="10" t="inlineStr">
        <is>
          <t>G_Regresion</t>
        </is>
      </c>
    </row>
    <row r="41">
      <c r="A41" s="10" t="inlineStr">
        <is>
          <t>Te dan medias, S y Sxy (o r) pero no los datos</t>
        </is>
      </c>
      <c r="B41" s="10" t="inlineStr">
        <is>
          <t>b = Sxy/Sx² · a = ȳ − b·x̄ · r = Sxy/(Sx·Sy)</t>
        </is>
      </c>
      <c r="C41" s="11" t="inlineStr">
        <is>
          <t>—</t>
        </is>
      </c>
      <c r="D41" s="10" t="inlineStr">
        <is>
          <t>H_Reg_resumen</t>
        </is>
      </c>
    </row>
    <row r="42">
      <c r="A42" s="8" t="inlineStr">
        <is>
          <t>TEMA 4 · ÍNDICES</t>
        </is>
      </c>
      <c r="B42" s="9" t="n"/>
      <c r="C42" s="9" t="n"/>
      <c r="D42" s="9" t="n"/>
    </row>
    <row r="43">
      <c r="A43" s="10" t="inlineStr">
        <is>
          <t>"índice con base 20XX", "evolución respecto a 20XX"</t>
        </is>
      </c>
      <c r="B43" s="10" t="inlineStr">
        <is>
          <t>Índice simple: valor/valor base × 100</t>
        </is>
      </c>
      <c r="C43" s="11" t="inlineStr">
        <is>
          <t>=B3/$B$2*100</t>
        </is>
      </c>
      <c r="D43" s="10" t="inlineStr">
        <is>
          <t>I_Indices</t>
        </is>
      </c>
    </row>
    <row r="44">
      <c r="A44" s="10" t="inlineStr">
        <is>
          <t>"tasa de variación", "cuánto ha subido/bajado"</t>
        </is>
      </c>
      <c r="B44" s="10" t="inlineStr">
        <is>
          <t>valor/anterior − 1</t>
        </is>
      </c>
      <c r="C44" s="11" t="inlineStr">
        <is>
          <t>=B3/B2-1</t>
        </is>
      </c>
      <c r="D44" s="10" t="inlineStr">
        <is>
          <t>I_Indices</t>
        </is>
      </c>
    </row>
    <row r="45">
      <c r="A45" s="10" t="inlineStr">
        <is>
          <t>"cambia la base a 20XX"</t>
        </is>
      </c>
      <c r="B45" s="10" t="inlineStr">
        <is>
          <t>Dividir toda la serie entre el índice de 20XX</t>
        </is>
      </c>
      <c r="C45" s="11" t="inlineStr">
        <is>
          <t>=C2/$C$6*100</t>
        </is>
      </c>
      <c r="D45" s="10" t="inlineStr">
        <is>
          <t>I_Indices</t>
        </is>
      </c>
    </row>
    <row r="46">
      <c r="A46" s="10" t="inlineStr">
        <is>
          <t>"subió un X % y luego bajó un Y %" (acumulado)</t>
        </is>
      </c>
      <c r="B46" s="10" t="inlineStr">
        <is>
          <t>Multiplicar: (1+X)·(1−Y)</t>
        </is>
      </c>
      <c r="C46" s="11" t="inlineStr">
        <is>
          <t>=PRODUCTO</t>
        </is>
      </c>
      <c r="D46" s="10" t="inlineStr">
        <is>
          <t>J_Tasas</t>
        </is>
      </c>
    </row>
    <row r="47">
      <c r="A47" s="10" t="inlineStr">
        <is>
          <t>"tasa media anual", "crecimiento medio por año"</t>
        </is>
      </c>
      <c r="B47" s="10" t="inlineStr">
        <is>
          <t>Media geométrica: (1+T)^(1/años) − 1</t>
        </is>
      </c>
      <c r="C47" s="11" t="inlineStr">
        <is>
          <t>=MEDIA.GEOM · =(1+T)^(1/k)-1</t>
        </is>
      </c>
      <c r="D47" s="10" t="inlineStr">
        <is>
          <t>I / J</t>
        </is>
      </c>
    </row>
    <row r="48">
      <c r="A48" s="10" t="inlineStr">
        <is>
          <t>"tasa mensual equivalente" a una anual</t>
        </is>
      </c>
      <c r="B48" s="10" t="inlineStr">
        <is>
          <t>(1 + anual)^(1/12) − 1</t>
        </is>
      </c>
      <c r="C48" s="11" t="inlineStr">
        <is>
          <t>=(1+t)^(1/12)-1</t>
        </is>
      </c>
      <c r="D48" s="10" t="inlineStr">
        <is>
          <t>J_Tasas</t>
        </is>
      </c>
    </row>
    <row r="49">
      <c r="A49" s="10" t="inlineStr">
        <is>
          <t>"A superó en un X % a B"</t>
        </is>
      </c>
      <c r="B49" s="10" t="inlineStr">
        <is>
          <t>A = (1 + X/100)·B → B = A/(1 + X/100)</t>
        </is>
      </c>
      <c r="C49" s="11" t="inlineStr">
        <is>
          <t>—</t>
        </is>
      </c>
      <c r="D49" s="10" t="inlineStr">
        <is>
          <t>J_Tasas</t>
        </is>
      </c>
    </row>
    <row r="50">
      <c r="A50" s="10" t="inlineStr">
        <is>
          <t>"índice de precios con las cantidades del año base"</t>
        </is>
      </c>
      <c r="B50" s="10" t="inlineStr">
        <is>
          <t>Laspeyres</t>
        </is>
      </c>
      <c r="C50" s="11" t="inlineStr">
        <is>
          <t>SUMAPRODUCTO(pt;q0)/SUMAPRODUCTO(p0;q0)*100</t>
        </is>
      </c>
      <c r="D50" s="10" t="inlineStr">
        <is>
          <t>K_Laspeyres</t>
        </is>
      </c>
    </row>
    <row r="51">
      <c r="A51" s="10" t="inlineStr">
        <is>
          <t>"con las cantidades actuales"</t>
        </is>
      </c>
      <c r="B51" s="10" t="inlineStr">
        <is>
          <t>Paasche</t>
        </is>
      </c>
      <c r="C51" s="11" t="inlineStr">
        <is>
          <t>SUMAPRODUCTO(pt;qt)/SUMAPRODUCTO(p0;qt)*100</t>
        </is>
      </c>
      <c r="D51" s="10" t="inlineStr">
        <is>
          <t>K_Laspeyres</t>
        </is>
      </c>
    </row>
    <row r="52">
      <c r="A52" s="10" t="inlineStr">
        <is>
          <t>"índice de Fisher"</t>
        </is>
      </c>
      <c r="B52" s="10" t="inlineStr">
        <is>
          <t>√(Laspeyres · Paasche)</t>
        </is>
      </c>
      <c r="C52" s="11" t="inlineStr">
        <is>
          <t>=RAIZ(L*P)</t>
        </is>
      </c>
      <c r="D52" s="10" t="inlineStr">
        <is>
          <t>K_Laspeyres</t>
        </is>
      </c>
    </row>
    <row r="53">
      <c r="A53" s="10" t="inlineStr">
        <is>
          <t>"en términos reales", "euros constantes", "poder adquisitivo", "deflactar"</t>
        </is>
      </c>
      <c r="B53" s="10" t="inlineStr">
        <is>
          <t>Valor nominal ÷ IPC × 100</t>
        </is>
      </c>
      <c r="C53" s="11" t="inlineStr">
        <is>
          <t>=B2/C2*100</t>
        </is>
      </c>
      <c r="D53" s="10" t="inlineStr">
        <is>
          <t>L_Deflactar</t>
        </is>
      </c>
    </row>
    <row r="54">
      <c r="A54" s="10" t="inlineStr">
        <is>
          <t>"¿está bien actualizado el salario/alquiler con el IPC?"</t>
        </is>
      </c>
      <c r="B54" s="10" t="inlineStr">
        <is>
          <t>Comparar con valor × IPC nuevo/IPC viejo</t>
        </is>
      </c>
      <c r="C54" s="11" t="inlineStr">
        <is>
          <t>—</t>
        </is>
      </c>
      <c r="D54" s="10" t="inlineStr">
        <is>
          <t>L_Deflactar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FD0"/>
    <outlinePr summaryBelow="1" summaryRight="1"/>
    <pageSetUpPr/>
  </sheetPr>
  <dimension ref="A1:L506"/>
  <sheetViews>
    <sheetView zoomScale="115" workbookViewId="0">
      <selection activeCell="A1" sqref="A1"/>
    </sheetView>
  </sheetViews>
  <sheetFormatPr baseColWidth="8" defaultRowHeight="15"/>
  <cols>
    <col width="12" customWidth="1" min="1" max="1"/>
    <col width="3" customWidth="1" min="2" max="2"/>
    <col width="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" customWidth="1" min="10" max="10"/>
    <col width="36" customWidth="1" min="11" max="11"/>
    <col width="16" customWidth="1" min="12" max="12"/>
    <col width="30" customWidth="1" min="13" max="13"/>
  </cols>
  <sheetData>
    <row r="1" ht="30" customHeight="1">
      <c r="A1" s="12" t="inlineStr">
        <is>
          <t>A · Datos sueltos (una variable)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7" t="inlineStr">
        <is>
          <t>Pega tus datos en la columna A (desde A7). Calcula tabla de frecuencias y todas las medidas.</t>
        </is>
      </c>
    </row>
    <row r="3">
      <c r="A3" s="14" t="inlineStr">
        <is>
          <t>Los valores de la tabla (columna D) salen solos si son números enteros seguidos (0, 1, 2…). Si no, bórralos y escribe tú los valores distintos.</t>
        </is>
      </c>
    </row>
    <row r="4">
      <c r="A4" s="15" t="inlineStr">
        <is>
          <t>Amarillo: escribe o pega aquí tus datos.  Verde: resultados (no los toques).</t>
        </is>
      </c>
      <c r="K4" s="16" t="inlineStr">
        <is>
          <t>Valor k para "cuántos más de k" →</t>
        </is>
      </c>
      <c r="L4" s="17" t="n">
        <v>2</v>
      </c>
    </row>
    <row r="5">
      <c r="K5" s="16" t="inlineStr">
        <is>
          <t>Percentil que quieres (en tanto por uno) →</t>
        </is>
      </c>
      <c r="L5" s="17" t="n">
        <v>0.9</v>
      </c>
    </row>
    <row r="6">
      <c r="A6" s="18" t="inlineStr">
        <is>
          <t>Datos</t>
        </is>
      </c>
      <c r="D6" s="3" t="inlineStr">
        <is>
          <t>xᵢ</t>
        </is>
      </c>
      <c r="E6" s="3" t="inlineStr">
        <is>
          <t>nᵢ</t>
        </is>
      </c>
      <c r="F6" s="3" t="inlineStr">
        <is>
          <t>fᵢ</t>
        </is>
      </c>
      <c r="G6" s="3" t="inlineStr">
        <is>
          <t>Nᵢ</t>
        </is>
      </c>
      <c r="H6" s="3" t="inlineStr">
        <is>
          <t>Fᵢ</t>
        </is>
      </c>
      <c r="I6" s="3" t="inlineStr">
        <is>
          <t>%</t>
        </is>
      </c>
    </row>
    <row r="7">
      <c r="A7" s="19" t="n"/>
      <c r="D7" s="17">
        <f>IF(COUNT($A$7:$A$506)=0,"",MIN($A$7:$A$506))</f>
        <v/>
      </c>
      <c r="E7" s="20">
        <f>IF(D7="","",COUNTIF($A$7:$A$506,D7))</f>
        <v/>
      </c>
      <c r="F7" s="21">
        <f>IF(D7="","",E7/COUNT($A$7:$A$506))</f>
        <v/>
      </c>
      <c r="G7" s="20">
        <f>IF(D7="","",SUM($E$7:E7))</f>
        <v/>
      </c>
      <c r="H7" s="21">
        <f>IF(D7="","",G7/COUNT($A$7:$A$506))</f>
        <v/>
      </c>
      <c r="I7" s="22">
        <f>IF(D7="","",F7*100)</f>
        <v/>
      </c>
      <c r="K7" s="18" t="inlineStr">
        <is>
          <t>n</t>
        </is>
      </c>
      <c r="L7" s="23">
        <f>IFERROR(COUNT($A$7:$A$506),"")</f>
        <v/>
      </c>
    </row>
    <row r="8">
      <c r="A8" s="19" t="n"/>
      <c r="D8" s="17">
        <f>IF(D7="","",IF(D7+1&gt;MAX($A$7:$A$506),"",D7+1))</f>
        <v/>
      </c>
      <c r="E8" s="20">
        <f>IF(D8="","",COUNTIF($A$7:$A$506,D8))</f>
        <v/>
      </c>
      <c r="F8" s="21">
        <f>IF(D8="","",E8/COUNT($A$7:$A$506))</f>
        <v/>
      </c>
      <c r="G8" s="20">
        <f>IF(D8="","",SUM($E$7:E8))</f>
        <v/>
      </c>
      <c r="H8" s="21">
        <f>IF(D8="","",G8/COUNT($A$7:$A$506))</f>
        <v/>
      </c>
      <c r="I8" s="22">
        <f>IF(D8="","",F8*100)</f>
        <v/>
      </c>
      <c r="K8" s="18" t="inlineStr">
        <is>
          <t>Media</t>
        </is>
      </c>
      <c r="L8" s="24">
        <f>IFERROR(AVERAGE($A$7:$A$506),"")</f>
        <v/>
      </c>
    </row>
    <row r="9">
      <c r="A9" s="19" t="n"/>
      <c r="D9" s="17">
        <f>IF(D8="","",IF(D8+1&gt;MAX($A$7:$A$506),"",D8+1))</f>
        <v/>
      </c>
      <c r="E9" s="20">
        <f>IF(D9="","",COUNTIF($A$7:$A$506,D9))</f>
        <v/>
      </c>
      <c r="F9" s="21">
        <f>IF(D9="","",E9/COUNT($A$7:$A$506))</f>
        <v/>
      </c>
      <c r="G9" s="20">
        <f>IF(D9="","",SUM($E$7:E9))</f>
        <v/>
      </c>
      <c r="H9" s="21">
        <f>IF(D9="","",G9/COUNT($A$7:$A$506))</f>
        <v/>
      </c>
      <c r="I9" s="22">
        <f>IF(D9="","",F9*100)</f>
        <v/>
      </c>
      <c r="K9" s="18" t="inlineStr">
        <is>
          <t>Mediana</t>
        </is>
      </c>
      <c r="L9" s="24">
        <f>IFERROR(MEDIAN($A$7:$A$506),"")</f>
        <v/>
      </c>
    </row>
    <row r="10">
      <c r="A10" s="19" t="n"/>
      <c r="D10" s="17">
        <f>IF(D9="","",IF(D9+1&gt;MAX($A$7:$A$506),"",D9+1))</f>
        <v/>
      </c>
      <c r="E10" s="20">
        <f>IF(D10="","",COUNTIF($A$7:$A$506,D10))</f>
        <v/>
      </c>
      <c r="F10" s="21">
        <f>IF(D10="","",E10/COUNT($A$7:$A$506))</f>
        <v/>
      </c>
      <c r="G10" s="20">
        <f>IF(D10="","",SUM($E$7:E10))</f>
        <v/>
      </c>
      <c r="H10" s="21">
        <f>IF(D10="","",G10/COUNT($A$7:$A$506))</f>
        <v/>
      </c>
      <c r="I10" s="22">
        <f>IF(D10="","",F10*100)</f>
        <v/>
      </c>
      <c r="K10" s="18" t="inlineStr">
        <is>
          <t>Moda</t>
        </is>
      </c>
      <c r="L10" s="24">
        <f>IFERROR(_xlfn.MODE.SNGL($A$7:$A$506),"")</f>
        <v/>
      </c>
    </row>
    <row r="11">
      <c r="A11" s="19" t="n"/>
      <c r="D11" s="17">
        <f>IF(D10="","",IF(D10+1&gt;MAX($A$7:$A$506),"",D10+1))</f>
        <v/>
      </c>
      <c r="E11" s="20">
        <f>IF(D11="","",COUNTIF($A$7:$A$506,D11))</f>
        <v/>
      </c>
      <c r="F11" s="21">
        <f>IF(D11="","",E11/COUNT($A$7:$A$506))</f>
        <v/>
      </c>
      <c r="G11" s="20">
        <f>IF(D11="","",SUM($E$7:E11))</f>
        <v/>
      </c>
      <c r="H11" s="21">
        <f>IF(D11="","",G11/COUNT($A$7:$A$506))</f>
        <v/>
      </c>
      <c r="I11" s="22">
        <f>IF(D11="","",F11*100)</f>
        <v/>
      </c>
      <c r="K11" s="18" t="inlineStr">
        <is>
          <t>Mínimo</t>
        </is>
      </c>
      <c r="L11" s="24">
        <f>IFERROR(MIN($A$7:$A$506),"")</f>
        <v/>
      </c>
    </row>
    <row r="12">
      <c r="A12" s="19" t="n"/>
      <c r="D12" s="17">
        <f>IF(D11="","",IF(D11+1&gt;MAX($A$7:$A$506),"",D11+1))</f>
        <v/>
      </c>
      <c r="E12" s="20">
        <f>IF(D12="","",COUNTIF($A$7:$A$506,D12))</f>
        <v/>
      </c>
      <c r="F12" s="21">
        <f>IF(D12="","",E12/COUNT($A$7:$A$506))</f>
        <v/>
      </c>
      <c r="G12" s="20">
        <f>IF(D12="","",SUM($E$7:E12))</f>
        <v/>
      </c>
      <c r="H12" s="21">
        <f>IF(D12="","",G12/COUNT($A$7:$A$506))</f>
        <v/>
      </c>
      <c r="I12" s="22">
        <f>IF(D12="","",F12*100)</f>
        <v/>
      </c>
      <c r="K12" s="18" t="inlineStr">
        <is>
          <t>Máximo</t>
        </is>
      </c>
      <c r="L12" s="24">
        <f>IFERROR(MAX($A$7:$A$506),"")</f>
        <v/>
      </c>
    </row>
    <row r="13">
      <c r="A13" s="19" t="n"/>
      <c r="D13" s="17">
        <f>IF(D12="","",IF(D12+1&gt;MAX($A$7:$A$506),"",D12+1))</f>
        <v/>
      </c>
      <c r="E13" s="20">
        <f>IF(D13="","",COUNTIF($A$7:$A$506,D13))</f>
        <v/>
      </c>
      <c r="F13" s="21">
        <f>IF(D13="","",E13/COUNT($A$7:$A$506))</f>
        <v/>
      </c>
      <c r="G13" s="20">
        <f>IF(D13="","",SUM($E$7:E13))</f>
        <v/>
      </c>
      <c r="H13" s="21">
        <f>IF(D13="","",G13/COUNT($A$7:$A$506))</f>
        <v/>
      </c>
      <c r="I13" s="22">
        <f>IF(D13="","",F13*100)</f>
        <v/>
      </c>
      <c r="K13" s="18" t="inlineStr">
        <is>
          <t>Rango</t>
        </is>
      </c>
      <c r="L13" s="24">
        <f>IFERROR(MAX($A$7:$A$506)-MIN($A$7:$A$506),"")</f>
        <v/>
      </c>
    </row>
    <row r="14">
      <c r="A14" s="19" t="n"/>
      <c r="D14" s="17">
        <f>IF(D13="","",IF(D13+1&gt;MAX($A$7:$A$506),"",D13+1))</f>
        <v/>
      </c>
      <c r="E14" s="20">
        <f>IF(D14="","",COUNTIF($A$7:$A$506,D14))</f>
        <v/>
      </c>
      <c r="F14" s="21">
        <f>IF(D14="","",E14/COUNT($A$7:$A$506))</f>
        <v/>
      </c>
      <c r="G14" s="20">
        <f>IF(D14="","",SUM($E$7:E14))</f>
        <v/>
      </c>
      <c r="H14" s="21">
        <f>IF(D14="","",G14/COUNT($A$7:$A$506))</f>
        <v/>
      </c>
      <c r="I14" s="22">
        <f>IF(D14="","",F14*100)</f>
        <v/>
      </c>
      <c r="K14" s="18" t="inlineStr">
        <is>
          <t>C₁ (CUARTIL.INC)</t>
        </is>
      </c>
      <c r="L14" s="24">
        <f>IFERROR(_xlfn.QUARTILE.INC($A$7:$A$506,1),"")</f>
        <v/>
      </c>
    </row>
    <row r="15">
      <c r="A15" s="19" t="n"/>
      <c r="D15" s="17">
        <f>IF(D14="","",IF(D14+1&gt;MAX($A$7:$A$506),"",D14+1))</f>
        <v/>
      </c>
      <c r="E15" s="20">
        <f>IF(D15="","",COUNTIF($A$7:$A$506,D15))</f>
        <v/>
      </c>
      <c r="F15" s="21">
        <f>IF(D15="","",E15/COUNT($A$7:$A$506))</f>
        <v/>
      </c>
      <c r="G15" s="20">
        <f>IF(D15="","",SUM($E$7:E15))</f>
        <v/>
      </c>
      <c r="H15" s="21">
        <f>IF(D15="","",G15/COUNT($A$7:$A$506))</f>
        <v/>
      </c>
      <c r="I15" s="22">
        <f>IF(D15="","",F15*100)</f>
        <v/>
      </c>
      <c r="K15" s="18" t="inlineStr">
        <is>
          <t>C₃ (CUARTIL.INC)</t>
        </is>
      </c>
      <c r="L15" s="24">
        <f>IFERROR(_xlfn.QUARTILE.INC($A$7:$A$506,3),"")</f>
        <v/>
      </c>
    </row>
    <row r="16">
      <c r="A16" s="19" t="n"/>
      <c r="D16" s="17">
        <f>IF(D15="","",IF(D15+1&gt;MAX($A$7:$A$506),"",D15+1))</f>
        <v/>
      </c>
      <c r="E16" s="20">
        <f>IF(D16="","",COUNTIF($A$7:$A$506,D16))</f>
        <v/>
      </c>
      <c r="F16" s="21">
        <f>IF(D16="","",E16/COUNT($A$7:$A$506))</f>
        <v/>
      </c>
      <c r="G16" s="20">
        <f>IF(D16="","",SUM($E$7:E16))</f>
        <v/>
      </c>
      <c r="H16" s="21">
        <f>IF(D16="","",G16/COUNT($A$7:$A$506))</f>
        <v/>
      </c>
      <c r="I16" s="22">
        <f>IF(D16="","",F16*100)</f>
        <v/>
      </c>
      <c r="K16" s="18" t="inlineStr">
        <is>
          <t>IQR = C₃ − C₁</t>
        </is>
      </c>
      <c r="L16" s="24">
        <f>IFERROR(L15-L14,"")</f>
        <v/>
      </c>
    </row>
    <row r="17">
      <c r="A17" s="19" t="n"/>
      <c r="D17" s="17">
        <f>IF(D16="","",IF(D16+1&gt;MAX($A$7:$A$506),"",D16+1))</f>
        <v/>
      </c>
      <c r="E17" s="20">
        <f>IF(D17="","",COUNTIF($A$7:$A$506,D17))</f>
        <v/>
      </c>
      <c r="F17" s="21">
        <f>IF(D17="","",E17/COUNT($A$7:$A$506))</f>
        <v/>
      </c>
      <c r="G17" s="20">
        <f>IF(D17="","",SUM($E$7:E17))</f>
        <v/>
      </c>
      <c r="H17" s="21">
        <f>IF(D17="","",G17/COUNT($A$7:$A$506))</f>
        <v/>
      </c>
      <c r="I17" s="22">
        <f>IF(D17="","",F17*100)</f>
        <v/>
      </c>
      <c r="K17" s="18" t="inlineStr">
        <is>
          <t>Percentil elegido (celda L5)</t>
        </is>
      </c>
      <c r="L17" s="24">
        <f>IFERROR(_xlfn.PERCENTILE.INC($A$7:$A$506,L5),"")</f>
        <v/>
      </c>
    </row>
    <row r="18">
      <c r="A18" s="19" t="n"/>
      <c r="D18" s="17">
        <f>IF(D17="","",IF(D17+1&gt;MAX($A$7:$A$506),"",D17+1))</f>
        <v/>
      </c>
      <c r="E18" s="20">
        <f>IF(D18="","",COUNTIF($A$7:$A$506,D18))</f>
        <v/>
      </c>
      <c r="F18" s="21">
        <f>IF(D18="","",E18/COUNT($A$7:$A$506))</f>
        <v/>
      </c>
      <c r="G18" s="20">
        <f>IF(D18="","",SUM($E$7:E18))</f>
        <v/>
      </c>
      <c r="H18" s="21">
        <f>IF(D18="","",G18/COUNT($A$7:$A$506))</f>
        <v/>
      </c>
      <c r="I18" s="22">
        <f>IF(D18="","",F18*100)</f>
        <v/>
      </c>
      <c r="K18" s="18" t="inlineStr">
        <is>
          <t>Varianza S² (VAR.P)</t>
        </is>
      </c>
      <c r="L18" s="24">
        <f>IFERROR(_xlfn.VAR.P($A$7:$A$506),"")</f>
        <v/>
      </c>
    </row>
    <row r="19">
      <c r="A19" s="19" t="n"/>
      <c r="D19" s="17">
        <f>IF(D18="","",IF(D18+1&gt;MAX($A$7:$A$506),"",D18+1))</f>
        <v/>
      </c>
      <c r="E19" s="20">
        <f>IF(D19="","",COUNTIF($A$7:$A$506,D19))</f>
        <v/>
      </c>
      <c r="F19" s="21">
        <f>IF(D19="","",E19/COUNT($A$7:$A$506))</f>
        <v/>
      </c>
      <c r="G19" s="20">
        <f>IF(D19="","",SUM($E$7:E19))</f>
        <v/>
      </c>
      <c r="H19" s="21">
        <f>IF(D19="","",G19/COUNT($A$7:$A$506))</f>
        <v/>
      </c>
      <c r="I19" s="22">
        <f>IF(D19="","",F19*100)</f>
        <v/>
      </c>
      <c r="K19" s="18" t="inlineStr">
        <is>
          <t>Cuasivarianza s² (VAR.S)</t>
        </is>
      </c>
      <c r="L19" s="24">
        <f>IFERROR(_xlfn.VAR.S($A$7:$A$506),"")</f>
        <v/>
      </c>
    </row>
    <row r="20">
      <c r="A20" s="19" t="n"/>
      <c r="D20" s="17">
        <f>IF(D19="","",IF(D19+1&gt;MAX($A$7:$A$506),"",D19+1))</f>
        <v/>
      </c>
      <c r="E20" s="20">
        <f>IF(D20="","",COUNTIF($A$7:$A$506,D20))</f>
        <v/>
      </c>
      <c r="F20" s="21">
        <f>IF(D20="","",E20/COUNT($A$7:$A$506))</f>
        <v/>
      </c>
      <c r="G20" s="20">
        <f>IF(D20="","",SUM($E$7:E20))</f>
        <v/>
      </c>
      <c r="H20" s="21">
        <f>IF(D20="","",G20/COUNT($A$7:$A$506))</f>
        <v/>
      </c>
      <c r="I20" s="22">
        <f>IF(D20="","",F20*100)</f>
        <v/>
      </c>
      <c r="K20" s="18" t="inlineStr">
        <is>
          <t>Desviación típica S</t>
        </is>
      </c>
      <c r="L20" s="24">
        <f>IFERROR(_xlfn.STDEV.P($A$7:$A$506),"")</f>
        <v/>
      </c>
    </row>
    <row r="21">
      <c r="A21" s="19" t="n"/>
      <c r="D21" s="17">
        <f>IF(D20="","",IF(D20+1&gt;MAX($A$7:$A$506),"",D20+1))</f>
        <v/>
      </c>
      <c r="E21" s="20">
        <f>IF(D21="","",COUNTIF($A$7:$A$506,D21))</f>
        <v/>
      </c>
      <c r="F21" s="21">
        <f>IF(D21="","",E21/COUNT($A$7:$A$506))</f>
        <v/>
      </c>
      <c r="G21" s="20">
        <f>IF(D21="","",SUM($E$7:E21))</f>
        <v/>
      </c>
      <c r="H21" s="21">
        <f>IF(D21="","",G21/COUNT($A$7:$A$506))</f>
        <v/>
      </c>
      <c r="I21" s="22">
        <f>IF(D21="","",F21*100)</f>
        <v/>
      </c>
      <c r="K21" s="18" t="inlineStr">
        <is>
          <t>Cuasidesviación s</t>
        </is>
      </c>
      <c r="L21" s="24">
        <f>IFERROR(_xlfn.STDEV.S($A$7:$A$506),"")</f>
        <v/>
      </c>
    </row>
    <row r="22">
      <c r="A22" s="19" t="n"/>
      <c r="D22" s="17">
        <f>IF(D21="","",IF(D21+1&gt;MAX($A$7:$A$506),"",D21+1))</f>
        <v/>
      </c>
      <c r="E22" s="20">
        <f>IF(D22="","",COUNTIF($A$7:$A$506,D22))</f>
        <v/>
      </c>
      <c r="F22" s="21">
        <f>IF(D22="","",E22/COUNT($A$7:$A$506))</f>
        <v/>
      </c>
      <c r="G22" s="20">
        <f>IF(D22="","",SUM($E$7:E22))</f>
        <v/>
      </c>
      <c r="H22" s="21">
        <f>IF(D22="","",G22/COUNT($A$7:$A$506))</f>
        <v/>
      </c>
      <c r="I22" s="22">
        <f>IF(D22="","",F22*100)</f>
        <v/>
      </c>
      <c r="K22" s="18" t="inlineStr">
        <is>
          <t>Coeficiente de variación</t>
        </is>
      </c>
      <c r="L22" s="24">
        <f>IFERROR(_xlfn.STDEV.P($A$7:$A$506)/AVERAGE($A$7:$A$506),"")</f>
        <v/>
      </c>
    </row>
    <row r="23">
      <c r="A23" s="19" t="n"/>
      <c r="D23" s="17">
        <f>IF(D22="","",IF(D22+1&gt;MAX($A$7:$A$506),"",D22+1))</f>
        <v/>
      </c>
      <c r="E23" s="20">
        <f>IF(D23="","",COUNTIF($A$7:$A$506,D23))</f>
        <v/>
      </c>
      <c r="F23" s="21">
        <f>IF(D23="","",E23/COUNT($A$7:$A$506))</f>
        <v/>
      </c>
      <c r="G23" s="20">
        <f>IF(D23="","",SUM($E$7:E23))</f>
        <v/>
      </c>
      <c r="H23" s="21">
        <f>IF(D23="","",G23/COUNT($A$7:$A$506))</f>
        <v/>
      </c>
      <c r="I23" s="22">
        <f>IF(D23="","",F23*100)</f>
        <v/>
      </c>
      <c r="K23" s="18" t="inlineStr">
        <is>
          <t>Asimetría (signo)</t>
        </is>
      </c>
      <c r="L23" s="24">
        <f>IFERROR(_xlfn.SKEW.P($A$7:$A$506),"")</f>
        <v/>
      </c>
    </row>
    <row r="24">
      <c r="A24" s="19" t="n"/>
      <c r="D24" s="17">
        <f>IF(D23="","",IF(D23+1&gt;MAX($A$7:$A$506),"",D23+1))</f>
        <v/>
      </c>
      <c r="E24" s="20">
        <f>IF(D24="","",COUNTIF($A$7:$A$506,D24))</f>
        <v/>
      </c>
      <c r="F24" s="21">
        <f>IF(D24="","",E24/COUNT($A$7:$A$506))</f>
        <v/>
      </c>
      <c r="G24" s="20">
        <f>IF(D24="","",SUM($E$7:E24))</f>
        <v/>
      </c>
      <c r="H24" s="21">
        <f>IF(D24="","",G24/COUNT($A$7:$A$506))</f>
        <v/>
      </c>
      <c r="I24" s="22">
        <f>IF(D24="","",F24*100)</f>
        <v/>
      </c>
      <c r="K24" s="18" t="inlineStr">
        <is>
          <t>Curtosis (signo)</t>
        </is>
      </c>
      <c r="L24" s="24">
        <f>IFERROR(KURT($A$7:$A$506),"")</f>
        <v/>
      </c>
    </row>
    <row r="25">
      <c r="A25" s="19" t="n"/>
      <c r="D25" s="17">
        <f>IF(D24="","",IF(D24+1&gt;MAX($A$7:$A$506),"",D24+1))</f>
        <v/>
      </c>
      <c r="E25" s="20">
        <f>IF(D25="","",COUNTIF($A$7:$A$506,D25))</f>
        <v/>
      </c>
      <c r="F25" s="21">
        <f>IF(D25="","",E25/COUNT($A$7:$A$506))</f>
        <v/>
      </c>
      <c r="G25" s="20">
        <f>IF(D25="","",SUM($E$7:E25))</f>
        <v/>
      </c>
      <c r="H25" s="21">
        <f>IF(D25="","",G25/COUNT($A$7:$A$506))</f>
        <v/>
      </c>
      <c r="I25" s="22">
        <f>IF(D25="","",F25*100)</f>
        <v/>
      </c>
      <c r="K25" s="18" t="inlineStr">
        <is>
          <t>Límite inferior atípicos</t>
        </is>
      </c>
      <c r="L25" s="24">
        <f>IFERROR(L14-1.5*L16,"")</f>
        <v/>
      </c>
    </row>
    <row r="26">
      <c r="A26" s="19" t="n"/>
      <c r="D26" s="17">
        <f>IF(D25="","",IF(D25+1&gt;MAX($A$7:$A$506),"",D25+1))</f>
        <v/>
      </c>
      <c r="E26" s="20">
        <f>IF(D26="","",COUNTIF($A$7:$A$506,D26))</f>
        <v/>
      </c>
      <c r="F26" s="21">
        <f>IF(D26="","",E26/COUNT($A$7:$A$506))</f>
        <v/>
      </c>
      <c r="G26" s="20">
        <f>IF(D26="","",SUM($E$7:E26))</f>
        <v/>
      </c>
      <c r="H26" s="21">
        <f>IF(D26="","",G26/COUNT($A$7:$A$506))</f>
        <v/>
      </c>
      <c r="I26" s="22">
        <f>IF(D26="","",F26*100)</f>
        <v/>
      </c>
      <c r="K26" s="18" t="inlineStr">
        <is>
          <t>Límite superior atípicos</t>
        </is>
      </c>
      <c r="L26" s="24">
        <f>IFERROR(L15+1.5*L16,"")</f>
        <v/>
      </c>
    </row>
    <row r="27">
      <c r="A27" s="19" t="n"/>
      <c r="D27" s="17">
        <f>IF(D26="","",IF(D26+1&gt;MAX($A$7:$A$506),"",D26+1))</f>
        <v/>
      </c>
      <c r="E27" s="20">
        <f>IF(D27="","",COUNTIF($A$7:$A$506,D27))</f>
        <v/>
      </c>
      <c r="F27" s="21">
        <f>IF(D27="","",E27/COUNT($A$7:$A$506))</f>
        <v/>
      </c>
      <c r="G27" s="20">
        <f>IF(D27="","",SUM($E$7:E27))</f>
        <v/>
      </c>
      <c r="H27" s="21">
        <f>IF(D27="","",G27/COUNT($A$7:$A$506))</f>
        <v/>
      </c>
      <c r="I27" s="22">
        <f>IF(D27="","",F27*100)</f>
        <v/>
      </c>
      <c r="K27" s="18" t="inlineStr">
        <is>
          <t>Nº de datos atípicos</t>
        </is>
      </c>
      <c r="L27" s="23">
        <f>IFERROR(COUNTIF($A$7:$A$506,"&lt;"&amp;L25)+COUNTIF($A$7:$A$506,"&gt;"&amp;L26),"")</f>
        <v/>
      </c>
    </row>
    <row r="28">
      <c r="A28" s="19" t="n"/>
      <c r="D28" s="17">
        <f>IF(D27="","",IF(D27+1&gt;MAX($A$7:$A$506),"",D27+1))</f>
        <v/>
      </c>
      <c r="E28" s="20">
        <f>IF(D28="","",COUNTIF($A$7:$A$506,D28))</f>
        <v/>
      </c>
      <c r="F28" s="21">
        <f>IF(D28="","",E28/COUNT($A$7:$A$506))</f>
        <v/>
      </c>
      <c r="G28" s="20">
        <f>IF(D28="","",SUM($E$7:E28))</f>
        <v/>
      </c>
      <c r="H28" s="21">
        <f>IF(D28="","",G28/COUNT($A$7:$A$506))</f>
        <v/>
      </c>
      <c r="I28" s="22">
        <f>IF(D28="","",F28*100)</f>
        <v/>
      </c>
      <c r="K28" s="18" t="inlineStr">
        <is>
          <t>Cuántos son MÁS de k (L4)</t>
        </is>
      </c>
      <c r="L28" s="23">
        <f>IFERROR(COUNTIF($A$7:$A$506,"&gt;"&amp;L4),"")</f>
        <v/>
      </c>
    </row>
    <row r="29">
      <c r="A29" s="19" t="n"/>
      <c r="D29" s="17">
        <f>IF(D28="","",IF(D28+1&gt;MAX($A$7:$A$506),"",D28+1))</f>
        <v/>
      </c>
      <c r="E29" s="20">
        <f>IF(D29="","",COUNTIF($A$7:$A$506,D29))</f>
        <v/>
      </c>
      <c r="F29" s="21">
        <f>IF(D29="","",E29/COUNT($A$7:$A$506))</f>
        <v/>
      </c>
      <c r="G29" s="20">
        <f>IF(D29="","",SUM($E$7:E29))</f>
        <v/>
      </c>
      <c r="H29" s="21">
        <f>IF(D29="","",G29/COUNT($A$7:$A$506))</f>
        <v/>
      </c>
      <c r="I29" s="22">
        <f>IF(D29="","",F29*100)</f>
        <v/>
      </c>
      <c r="K29" s="18" t="inlineStr">
        <is>
          <t>Cuántos son k O MÁS</t>
        </is>
      </c>
      <c r="L29" s="23">
        <f>IFERROR(COUNTIF($A$7:$A$506,"&gt;="&amp;L4),"")</f>
        <v/>
      </c>
    </row>
    <row r="30">
      <c r="A30" s="19" t="n"/>
      <c r="D30" s="17">
        <f>IF(D29="","",IF(D29+1&gt;MAX($A$7:$A$506),"",D29+1))</f>
        <v/>
      </c>
      <c r="E30" s="20">
        <f>IF(D30="","",COUNTIF($A$7:$A$506,D30))</f>
        <v/>
      </c>
      <c r="F30" s="21">
        <f>IF(D30="","",E30/COUNT($A$7:$A$506))</f>
        <v/>
      </c>
      <c r="G30" s="20">
        <f>IF(D30="","",SUM($E$7:E30))</f>
        <v/>
      </c>
      <c r="H30" s="21">
        <f>IF(D30="","",G30/COUNT($A$7:$A$506))</f>
        <v/>
      </c>
      <c r="I30" s="22">
        <f>IF(D30="","",F30*100)</f>
        <v/>
      </c>
      <c r="K30" s="18" t="inlineStr">
        <is>
          <t>Proporción con más de k</t>
        </is>
      </c>
      <c r="L30" s="24">
        <f>IFERROR(COUNTIF($A$7:$A$506,"&gt;"&amp;L4)/COUNT($A$7:$A$506),"")</f>
        <v/>
      </c>
    </row>
    <row r="31">
      <c r="A31" s="19" t="n"/>
      <c r="D31" s="17">
        <f>IF(D30="","",IF(D30+1&gt;MAX($A$7:$A$506),"",D30+1))</f>
        <v/>
      </c>
      <c r="E31" s="20">
        <f>IF(D31="","",COUNTIF($A$7:$A$506,D31))</f>
        <v/>
      </c>
      <c r="F31" s="21">
        <f>IF(D31="","",E31/COUNT($A$7:$A$506))</f>
        <v/>
      </c>
      <c r="G31" s="20">
        <f>IF(D31="","",SUM($E$7:E31))</f>
        <v/>
      </c>
      <c r="H31" s="21">
        <f>IF(D31="","",G31/COUNT($A$7:$A$506))</f>
        <v/>
      </c>
      <c r="I31" s="22">
        <f>IF(D31="","",F31*100)</f>
        <v/>
      </c>
    </row>
    <row r="32">
      <c r="A32" s="19" t="n"/>
      <c r="D32" s="17">
        <f>IF(D31="","",IF(D31+1&gt;MAX($A$7:$A$506),"",D31+1))</f>
        <v/>
      </c>
      <c r="E32" s="20">
        <f>IF(D32="","",COUNTIF($A$7:$A$506,D32))</f>
        <v/>
      </c>
      <c r="F32" s="21">
        <f>IF(D32="","",E32/COUNT($A$7:$A$506))</f>
        <v/>
      </c>
      <c r="G32" s="20">
        <f>IF(D32="","",SUM($E$7:E32))</f>
        <v/>
      </c>
      <c r="H32" s="21">
        <f>IF(D32="","",G32/COUNT($A$7:$A$506))</f>
        <v/>
      </c>
      <c r="I32" s="22">
        <f>IF(D32="","",F32*100)</f>
        <v/>
      </c>
      <c r="K32" s="25" t="inlineStr">
        <is>
          <t>Los cuartiles con la receta de clase (tabla) están en la plantilla B.</t>
        </is>
      </c>
    </row>
    <row r="33">
      <c r="A33" s="19" t="n"/>
      <c r="D33" s="17">
        <f>IF(D32="","",IF(D32+1&gt;MAX($A$7:$A$506),"",D32+1))</f>
        <v/>
      </c>
      <c r="E33" s="20">
        <f>IF(D33="","",COUNTIF($A$7:$A$506,D33))</f>
        <v/>
      </c>
      <c r="F33" s="21">
        <f>IF(D33="","",E33/COUNT($A$7:$A$506))</f>
        <v/>
      </c>
      <c r="G33" s="20">
        <f>IF(D33="","",SUM($E$7:E33))</f>
        <v/>
      </c>
      <c r="H33" s="21">
        <f>IF(D33="","",G33/COUNT($A$7:$A$506))</f>
        <v/>
      </c>
      <c r="I33" s="22">
        <f>IF(D33="","",F33*100)</f>
        <v/>
      </c>
    </row>
    <row r="34">
      <c r="A34" s="19" t="n"/>
      <c r="D34" s="17">
        <f>IF(D33="","",IF(D33+1&gt;MAX($A$7:$A$506),"",D33+1))</f>
        <v/>
      </c>
      <c r="E34" s="20">
        <f>IF(D34="","",COUNTIF($A$7:$A$506,D34))</f>
        <v/>
      </c>
      <c r="F34" s="21">
        <f>IF(D34="","",E34/COUNT($A$7:$A$506))</f>
        <v/>
      </c>
      <c r="G34" s="20">
        <f>IF(D34="","",SUM($E$7:E34))</f>
        <v/>
      </c>
      <c r="H34" s="21">
        <f>IF(D34="","",G34/COUNT($A$7:$A$506))</f>
        <v/>
      </c>
      <c r="I34" s="22">
        <f>IF(D34="","",F34*100)</f>
        <v/>
      </c>
    </row>
    <row r="35">
      <c r="A35" s="19" t="n"/>
      <c r="D35" s="17">
        <f>IF(D34="","",IF(D34+1&gt;MAX($A$7:$A$506),"",D34+1))</f>
        <v/>
      </c>
      <c r="E35" s="20">
        <f>IF(D35="","",COUNTIF($A$7:$A$506,D35))</f>
        <v/>
      </c>
      <c r="F35" s="21">
        <f>IF(D35="","",E35/COUNT($A$7:$A$506))</f>
        <v/>
      </c>
      <c r="G35" s="20">
        <f>IF(D35="","",SUM($E$7:E35))</f>
        <v/>
      </c>
      <c r="H35" s="21">
        <f>IF(D35="","",G35/COUNT($A$7:$A$506))</f>
        <v/>
      </c>
      <c r="I35" s="22">
        <f>IF(D35="","",F35*100)</f>
        <v/>
      </c>
    </row>
    <row r="36">
      <c r="A36" s="19" t="n"/>
      <c r="D36" s="17">
        <f>IF(D35="","",IF(D35+1&gt;MAX($A$7:$A$506),"",D35+1))</f>
        <v/>
      </c>
      <c r="E36" s="20">
        <f>IF(D36="","",COUNTIF($A$7:$A$506,D36))</f>
        <v/>
      </c>
      <c r="F36" s="21">
        <f>IF(D36="","",E36/COUNT($A$7:$A$506))</f>
        <v/>
      </c>
      <c r="G36" s="20">
        <f>IF(D36="","",SUM($E$7:E36))</f>
        <v/>
      </c>
      <c r="H36" s="21">
        <f>IF(D36="","",G36/COUNT($A$7:$A$506))</f>
        <v/>
      </c>
      <c r="I36" s="22">
        <f>IF(D36="","",F36*100)</f>
        <v/>
      </c>
    </row>
    <row r="37">
      <c r="A37" s="19" t="n"/>
      <c r="D37" s="17">
        <f>IF(D36="","",IF(D36+1&gt;MAX($A$7:$A$506),"",D36+1))</f>
        <v/>
      </c>
      <c r="E37" s="20">
        <f>IF(D37="","",COUNTIF($A$7:$A$506,D37))</f>
        <v/>
      </c>
      <c r="F37" s="21">
        <f>IF(D37="","",E37/COUNT($A$7:$A$506))</f>
        <v/>
      </c>
      <c r="G37" s="20">
        <f>IF(D37="","",SUM($E$7:E37))</f>
        <v/>
      </c>
      <c r="H37" s="21">
        <f>IF(D37="","",G37/COUNT($A$7:$A$506))</f>
        <v/>
      </c>
      <c r="I37" s="22">
        <f>IF(D37="","",F37*100)</f>
        <v/>
      </c>
    </row>
    <row r="38">
      <c r="A38" s="19" t="n"/>
      <c r="D38" s="17">
        <f>IF(D37="","",IF(D37+1&gt;MAX($A$7:$A$506),"",D37+1))</f>
        <v/>
      </c>
      <c r="E38" s="20">
        <f>IF(D38="","",COUNTIF($A$7:$A$506,D38))</f>
        <v/>
      </c>
      <c r="F38" s="21">
        <f>IF(D38="","",E38/COUNT($A$7:$A$506))</f>
        <v/>
      </c>
      <c r="G38" s="20">
        <f>IF(D38="","",SUM($E$7:E38))</f>
        <v/>
      </c>
      <c r="H38" s="21">
        <f>IF(D38="","",G38/COUNT($A$7:$A$506))</f>
        <v/>
      </c>
      <c r="I38" s="22">
        <f>IF(D38="","",F38*100)</f>
        <v/>
      </c>
    </row>
    <row r="39">
      <c r="A39" s="19" t="n"/>
      <c r="D39" s="17">
        <f>IF(D38="","",IF(D38+1&gt;MAX($A$7:$A$506),"",D38+1))</f>
        <v/>
      </c>
      <c r="E39" s="20">
        <f>IF(D39="","",COUNTIF($A$7:$A$506,D39))</f>
        <v/>
      </c>
      <c r="F39" s="21">
        <f>IF(D39="","",E39/COUNT($A$7:$A$506))</f>
        <v/>
      </c>
      <c r="G39" s="20">
        <f>IF(D39="","",SUM($E$7:E39))</f>
        <v/>
      </c>
      <c r="H39" s="21">
        <f>IF(D39="","",G39/COUNT($A$7:$A$506))</f>
        <v/>
      </c>
      <c r="I39" s="22">
        <f>IF(D39="","",F39*100)</f>
        <v/>
      </c>
    </row>
    <row r="40">
      <c r="A40" s="19" t="n"/>
      <c r="D40" s="17">
        <f>IF(D39="","",IF(D39+1&gt;MAX($A$7:$A$506),"",D39+1))</f>
        <v/>
      </c>
      <c r="E40" s="20">
        <f>IF(D40="","",COUNTIF($A$7:$A$506,D40))</f>
        <v/>
      </c>
      <c r="F40" s="21">
        <f>IF(D40="","",E40/COUNT($A$7:$A$506))</f>
        <v/>
      </c>
      <c r="G40" s="20">
        <f>IF(D40="","",SUM($E$7:E40))</f>
        <v/>
      </c>
      <c r="H40" s="21">
        <f>IF(D40="","",G40/COUNT($A$7:$A$506))</f>
        <v/>
      </c>
      <c r="I40" s="22">
        <f>IF(D40="","",F40*100)</f>
        <v/>
      </c>
    </row>
    <row r="41">
      <c r="A41" s="19" t="n"/>
      <c r="D41" s="17">
        <f>IF(D40="","",IF(D40+1&gt;MAX($A$7:$A$506),"",D40+1))</f>
        <v/>
      </c>
      <c r="E41" s="20">
        <f>IF(D41="","",COUNTIF($A$7:$A$506,D41))</f>
        <v/>
      </c>
      <c r="F41" s="21">
        <f>IF(D41="","",E41/COUNT($A$7:$A$506))</f>
        <v/>
      </c>
      <c r="G41" s="20">
        <f>IF(D41="","",SUM($E$7:E41))</f>
        <v/>
      </c>
      <c r="H41" s="21">
        <f>IF(D41="","",G41/COUNT($A$7:$A$506))</f>
        <v/>
      </c>
      <c r="I41" s="22">
        <f>IF(D41="","",F41*100)</f>
        <v/>
      </c>
    </row>
    <row r="42">
      <c r="A42" s="19" t="n"/>
      <c r="D42" s="17">
        <f>IF(D41="","",IF(D41+1&gt;MAX($A$7:$A$506),"",D41+1))</f>
        <v/>
      </c>
      <c r="E42" s="20">
        <f>IF(D42="","",COUNTIF($A$7:$A$506,D42))</f>
        <v/>
      </c>
      <c r="F42" s="21">
        <f>IF(D42="","",E42/COUNT($A$7:$A$506))</f>
        <v/>
      </c>
      <c r="G42" s="20">
        <f>IF(D42="","",SUM($E$7:E42))</f>
        <v/>
      </c>
      <c r="H42" s="21">
        <f>IF(D42="","",G42/COUNT($A$7:$A$506))</f>
        <v/>
      </c>
      <c r="I42" s="22">
        <f>IF(D42="","",F42*100)</f>
        <v/>
      </c>
    </row>
    <row r="43">
      <c r="A43" s="19" t="n"/>
      <c r="D43" s="17">
        <f>IF(D42="","",IF(D42+1&gt;MAX($A$7:$A$506),"",D42+1))</f>
        <v/>
      </c>
      <c r="E43" s="20">
        <f>IF(D43="","",COUNTIF($A$7:$A$506,D43))</f>
        <v/>
      </c>
      <c r="F43" s="21">
        <f>IF(D43="","",E43/COUNT($A$7:$A$506))</f>
        <v/>
      </c>
      <c r="G43" s="20">
        <f>IF(D43="","",SUM($E$7:E43))</f>
        <v/>
      </c>
      <c r="H43" s="21">
        <f>IF(D43="","",G43/COUNT($A$7:$A$506))</f>
        <v/>
      </c>
      <c r="I43" s="22">
        <f>IF(D43="","",F43*100)</f>
        <v/>
      </c>
    </row>
    <row r="44">
      <c r="A44" s="19" t="n"/>
      <c r="D44" s="17">
        <f>IF(D43="","",IF(D43+1&gt;MAX($A$7:$A$506),"",D43+1))</f>
        <v/>
      </c>
      <c r="E44" s="20">
        <f>IF(D44="","",COUNTIF($A$7:$A$506,D44))</f>
        <v/>
      </c>
      <c r="F44" s="21">
        <f>IF(D44="","",E44/COUNT($A$7:$A$506))</f>
        <v/>
      </c>
      <c r="G44" s="20">
        <f>IF(D44="","",SUM($E$7:E44))</f>
        <v/>
      </c>
      <c r="H44" s="21">
        <f>IF(D44="","",G44/COUNT($A$7:$A$506))</f>
        <v/>
      </c>
      <c r="I44" s="22">
        <f>IF(D44="","",F44*100)</f>
        <v/>
      </c>
    </row>
    <row r="45">
      <c r="A45" s="19" t="n"/>
      <c r="D45" s="17">
        <f>IF(D44="","",IF(D44+1&gt;MAX($A$7:$A$506),"",D44+1))</f>
        <v/>
      </c>
      <c r="E45" s="20">
        <f>IF(D45="","",COUNTIF($A$7:$A$506,D45))</f>
        <v/>
      </c>
      <c r="F45" s="21">
        <f>IF(D45="","",E45/COUNT($A$7:$A$506))</f>
        <v/>
      </c>
      <c r="G45" s="20">
        <f>IF(D45="","",SUM($E$7:E45))</f>
        <v/>
      </c>
      <c r="H45" s="21">
        <f>IF(D45="","",G45/COUNT($A$7:$A$506))</f>
        <v/>
      </c>
      <c r="I45" s="22">
        <f>IF(D45="","",F45*100)</f>
        <v/>
      </c>
    </row>
    <row r="46">
      <c r="A46" s="19" t="n"/>
      <c r="D46" s="17">
        <f>IF(D45="","",IF(D45+1&gt;MAX($A$7:$A$506),"",D45+1))</f>
        <v/>
      </c>
      <c r="E46" s="20">
        <f>IF(D46="","",COUNTIF($A$7:$A$506,D46))</f>
        <v/>
      </c>
      <c r="F46" s="21">
        <f>IF(D46="","",E46/COUNT($A$7:$A$506))</f>
        <v/>
      </c>
      <c r="G46" s="20">
        <f>IF(D46="","",SUM($E$7:E46))</f>
        <v/>
      </c>
      <c r="H46" s="21">
        <f>IF(D46="","",G46/COUNT($A$7:$A$506))</f>
        <v/>
      </c>
      <c r="I46" s="22">
        <f>IF(D46="","",F46*100)</f>
        <v/>
      </c>
    </row>
    <row r="47">
      <c r="A47" s="19" t="n"/>
    </row>
    <row r="48">
      <c r="A48" s="19" t="n"/>
    </row>
    <row r="49">
      <c r="A49" s="19" t="n"/>
    </row>
    <row r="50">
      <c r="A50" s="19" t="n"/>
    </row>
    <row r="51">
      <c r="A51" s="19" t="n"/>
    </row>
    <row r="52">
      <c r="A52" s="19" t="n"/>
    </row>
    <row r="53">
      <c r="A53" s="19" t="n"/>
    </row>
    <row r="54">
      <c r="A54" s="19" t="n"/>
    </row>
    <row r="55">
      <c r="A55" s="19" t="n"/>
    </row>
    <row r="56">
      <c r="A56" s="19" t="n"/>
    </row>
    <row r="57">
      <c r="A57" s="19" t="n"/>
    </row>
    <row r="58">
      <c r="A58" s="19" t="n"/>
    </row>
    <row r="59">
      <c r="A59" s="19" t="n"/>
    </row>
    <row r="60">
      <c r="A60" s="19" t="n"/>
    </row>
    <row r="61">
      <c r="A61" s="19" t="n"/>
    </row>
    <row r="62">
      <c r="A62" s="19" t="n"/>
    </row>
    <row r="63">
      <c r="A63" s="19" t="n"/>
    </row>
    <row r="64">
      <c r="A64" s="19" t="n"/>
    </row>
    <row r="65">
      <c r="A65" s="19" t="n"/>
    </row>
    <row r="66">
      <c r="A66" s="19" t="n"/>
    </row>
    <row r="67">
      <c r="A67" s="19" t="n"/>
    </row>
    <row r="68">
      <c r="A68" s="19" t="n"/>
    </row>
    <row r="69">
      <c r="A69" s="19" t="n"/>
    </row>
    <row r="70">
      <c r="A70" s="19" t="n"/>
    </row>
    <row r="71">
      <c r="A71" s="19" t="n"/>
    </row>
    <row r="72">
      <c r="A72" s="19" t="n"/>
    </row>
    <row r="73">
      <c r="A73" s="19" t="n"/>
    </row>
    <row r="74">
      <c r="A74" s="19" t="n"/>
    </row>
    <row r="75">
      <c r="A75" s="19" t="n"/>
    </row>
    <row r="76">
      <c r="A76" s="19" t="n"/>
    </row>
    <row r="77">
      <c r="A77" s="19" t="n"/>
    </row>
    <row r="78">
      <c r="A78" s="19" t="n"/>
    </row>
    <row r="79">
      <c r="A79" s="19" t="n"/>
    </row>
    <row r="80">
      <c r="A80" s="19" t="n"/>
    </row>
    <row r="81">
      <c r="A81" s="19" t="n"/>
    </row>
    <row r="82">
      <c r="A82" s="19" t="n"/>
    </row>
    <row r="83">
      <c r="A83" s="19" t="n"/>
    </row>
    <row r="84">
      <c r="A84" s="19" t="n"/>
    </row>
    <row r="85">
      <c r="A85" s="19" t="n"/>
    </row>
    <row r="86">
      <c r="A86" s="19" t="n"/>
    </row>
    <row r="87">
      <c r="A87" s="19" t="n"/>
    </row>
    <row r="88">
      <c r="A88" s="19" t="n"/>
    </row>
    <row r="89">
      <c r="A89" s="19" t="n"/>
    </row>
    <row r="90">
      <c r="A90" s="19" t="n"/>
    </row>
    <row r="91">
      <c r="A91" s="19" t="n"/>
    </row>
    <row r="92">
      <c r="A92" s="19" t="n"/>
    </row>
    <row r="93">
      <c r="A93" s="19" t="n"/>
    </row>
    <row r="94">
      <c r="A94" s="19" t="n"/>
    </row>
    <row r="95">
      <c r="A95" s="19" t="n"/>
    </row>
    <row r="96">
      <c r="A96" s="19" t="n"/>
    </row>
    <row r="97">
      <c r="A97" s="19" t="n"/>
    </row>
    <row r="98">
      <c r="A98" s="19" t="n"/>
    </row>
    <row r="99">
      <c r="A99" s="19" t="n"/>
    </row>
    <row r="100">
      <c r="A100" s="19" t="n"/>
    </row>
    <row r="101">
      <c r="A101" s="19" t="n"/>
    </row>
    <row r="102">
      <c r="A102" s="19" t="n"/>
    </row>
    <row r="103">
      <c r="A103" s="19" t="n"/>
    </row>
    <row r="104">
      <c r="A104" s="19" t="n"/>
    </row>
    <row r="105">
      <c r="A105" s="19" t="n"/>
    </row>
    <row r="106">
      <c r="A106" s="19" t="n"/>
    </row>
    <row r="107">
      <c r="A107" s="19" t="n"/>
    </row>
    <row r="108">
      <c r="A108" s="19" t="n"/>
    </row>
    <row r="109">
      <c r="A109" s="19" t="n"/>
    </row>
    <row r="110">
      <c r="A110" s="19" t="n"/>
    </row>
    <row r="111">
      <c r="A111" s="19" t="n"/>
    </row>
    <row r="112">
      <c r="A112" s="19" t="n"/>
    </row>
    <row r="113">
      <c r="A113" s="19" t="n"/>
    </row>
    <row r="114">
      <c r="A114" s="19" t="n"/>
    </row>
    <row r="115">
      <c r="A115" s="19" t="n"/>
    </row>
    <row r="116">
      <c r="A116" s="19" t="n"/>
    </row>
    <row r="117">
      <c r="A117" s="19" t="n"/>
    </row>
    <row r="118">
      <c r="A118" s="19" t="n"/>
    </row>
    <row r="119">
      <c r="A119" s="19" t="n"/>
    </row>
    <row r="120">
      <c r="A120" s="19" t="n"/>
    </row>
    <row r="121">
      <c r="A121" s="19" t="n"/>
    </row>
    <row r="122">
      <c r="A122" s="19" t="n"/>
    </row>
    <row r="123">
      <c r="A123" s="19" t="n"/>
    </row>
    <row r="124">
      <c r="A124" s="19" t="n"/>
    </row>
    <row r="125">
      <c r="A125" s="19" t="n"/>
    </row>
    <row r="126">
      <c r="A126" s="19" t="n"/>
    </row>
    <row r="127">
      <c r="A127" s="19" t="n"/>
    </row>
    <row r="128">
      <c r="A128" s="19" t="n"/>
    </row>
    <row r="129">
      <c r="A129" s="19" t="n"/>
    </row>
    <row r="130">
      <c r="A130" s="19" t="n"/>
    </row>
    <row r="131">
      <c r="A131" s="19" t="n"/>
    </row>
    <row r="132">
      <c r="A132" s="19" t="n"/>
    </row>
    <row r="133">
      <c r="A133" s="19" t="n"/>
    </row>
    <row r="134">
      <c r="A134" s="19" t="n"/>
    </row>
    <row r="135">
      <c r="A135" s="19" t="n"/>
    </row>
    <row r="136">
      <c r="A136" s="19" t="n"/>
    </row>
    <row r="137">
      <c r="A137" s="19" t="n"/>
    </row>
    <row r="138">
      <c r="A138" s="19" t="n"/>
    </row>
    <row r="139">
      <c r="A139" s="19" t="n"/>
    </row>
    <row r="140">
      <c r="A140" s="19" t="n"/>
    </row>
    <row r="141">
      <c r="A141" s="19" t="n"/>
    </row>
    <row r="142">
      <c r="A142" s="19" t="n"/>
    </row>
    <row r="143">
      <c r="A143" s="19" t="n"/>
    </row>
    <row r="144">
      <c r="A144" s="19" t="n"/>
    </row>
    <row r="145">
      <c r="A145" s="19" t="n"/>
    </row>
    <row r="146">
      <c r="A146" s="19" t="n"/>
    </row>
    <row r="147">
      <c r="A147" s="19" t="n"/>
    </row>
    <row r="148">
      <c r="A148" s="19" t="n"/>
    </row>
    <row r="149">
      <c r="A149" s="19" t="n"/>
    </row>
    <row r="150">
      <c r="A150" s="19" t="n"/>
    </row>
    <row r="151">
      <c r="A151" s="19" t="n"/>
    </row>
    <row r="152">
      <c r="A152" s="19" t="n"/>
    </row>
    <row r="153">
      <c r="A153" s="19" t="n"/>
    </row>
    <row r="154">
      <c r="A154" s="19" t="n"/>
    </row>
    <row r="155">
      <c r="A155" s="19" t="n"/>
    </row>
    <row r="156">
      <c r="A156" s="19" t="n"/>
    </row>
    <row r="157">
      <c r="A157" s="19" t="n"/>
    </row>
    <row r="158">
      <c r="A158" s="19" t="n"/>
    </row>
    <row r="159">
      <c r="A159" s="19" t="n"/>
    </row>
    <row r="160">
      <c r="A160" s="19" t="n"/>
    </row>
    <row r="161">
      <c r="A161" s="19" t="n"/>
    </row>
    <row r="162">
      <c r="A162" s="19" t="n"/>
    </row>
    <row r="163">
      <c r="A163" s="19" t="n"/>
    </row>
    <row r="164">
      <c r="A164" s="19" t="n"/>
    </row>
    <row r="165">
      <c r="A165" s="19" t="n"/>
    </row>
    <row r="166">
      <c r="A166" s="19" t="n"/>
    </row>
    <row r="167">
      <c r="A167" s="19" t="n"/>
    </row>
    <row r="168">
      <c r="A168" s="19" t="n"/>
    </row>
    <row r="169">
      <c r="A169" s="19" t="n"/>
    </row>
    <row r="170">
      <c r="A170" s="19" t="n"/>
    </row>
    <row r="171">
      <c r="A171" s="19" t="n"/>
    </row>
    <row r="172">
      <c r="A172" s="19" t="n"/>
    </row>
    <row r="173">
      <c r="A173" s="19" t="n"/>
    </row>
    <row r="174">
      <c r="A174" s="19" t="n"/>
    </row>
    <row r="175">
      <c r="A175" s="19" t="n"/>
    </row>
    <row r="176">
      <c r="A176" s="19" t="n"/>
    </row>
    <row r="177">
      <c r="A177" s="19" t="n"/>
    </row>
    <row r="178">
      <c r="A178" s="19" t="n"/>
    </row>
    <row r="179">
      <c r="A179" s="19" t="n"/>
    </row>
    <row r="180">
      <c r="A180" s="19" t="n"/>
    </row>
    <row r="181">
      <c r="A181" s="19" t="n"/>
    </row>
    <row r="182">
      <c r="A182" s="19" t="n"/>
    </row>
    <row r="183">
      <c r="A183" s="19" t="n"/>
    </row>
    <row r="184">
      <c r="A184" s="19" t="n"/>
    </row>
    <row r="185">
      <c r="A185" s="19" t="n"/>
    </row>
    <row r="186">
      <c r="A186" s="19" t="n"/>
    </row>
    <row r="187">
      <c r="A187" s="19" t="n"/>
    </row>
    <row r="188">
      <c r="A188" s="19" t="n"/>
    </row>
    <row r="189">
      <c r="A189" s="19" t="n"/>
    </row>
    <row r="190">
      <c r="A190" s="19" t="n"/>
    </row>
    <row r="191">
      <c r="A191" s="19" t="n"/>
    </row>
    <row r="192">
      <c r="A192" s="19" t="n"/>
    </row>
    <row r="193">
      <c r="A193" s="19" t="n"/>
    </row>
    <row r="194">
      <c r="A194" s="19" t="n"/>
    </row>
    <row r="195">
      <c r="A195" s="19" t="n"/>
    </row>
    <row r="196">
      <c r="A196" s="19" t="n"/>
    </row>
    <row r="197">
      <c r="A197" s="19" t="n"/>
    </row>
    <row r="198">
      <c r="A198" s="19" t="n"/>
    </row>
    <row r="199">
      <c r="A199" s="19" t="n"/>
    </row>
    <row r="200">
      <c r="A200" s="19" t="n"/>
    </row>
    <row r="201">
      <c r="A201" s="19" t="n"/>
    </row>
    <row r="202">
      <c r="A202" s="19" t="n"/>
    </row>
    <row r="203">
      <c r="A203" s="19" t="n"/>
    </row>
    <row r="204">
      <c r="A204" s="19" t="n"/>
    </row>
    <row r="205">
      <c r="A205" s="19" t="n"/>
    </row>
    <row r="206">
      <c r="A206" s="19" t="n"/>
    </row>
    <row r="207">
      <c r="A207" s="19" t="n"/>
    </row>
    <row r="208">
      <c r="A208" s="19" t="n"/>
    </row>
    <row r="209">
      <c r="A209" s="19" t="n"/>
    </row>
    <row r="210">
      <c r="A210" s="19" t="n"/>
    </row>
    <row r="211">
      <c r="A211" s="19" t="n"/>
    </row>
    <row r="212">
      <c r="A212" s="19" t="n"/>
    </row>
    <row r="213">
      <c r="A213" s="19" t="n"/>
    </row>
    <row r="214">
      <c r="A214" s="19" t="n"/>
    </row>
    <row r="215">
      <c r="A215" s="19" t="n"/>
    </row>
    <row r="216">
      <c r="A216" s="19" t="n"/>
    </row>
    <row r="217">
      <c r="A217" s="19" t="n"/>
    </row>
    <row r="218">
      <c r="A218" s="19" t="n"/>
    </row>
    <row r="219">
      <c r="A219" s="19" t="n"/>
    </row>
    <row r="220">
      <c r="A220" s="19" t="n"/>
    </row>
    <row r="221">
      <c r="A221" s="19" t="n"/>
    </row>
    <row r="222">
      <c r="A222" s="19" t="n"/>
    </row>
    <row r="223">
      <c r="A223" s="19" t="n"/>
    </row>
    <row r="224">
      <c r="A224" s="19" t="n"/>
    </row>
    <row r="225">
      <c r="A225" s="19" t="n"/>
    </row>
    <row r="226">
      <c r="A226" s="19" t="n"/>
    </row>
    <row r="227">
      <c r="A227" s="19" t="n"/>
    </row>
    <row r="228">
      <c r="A228" s="19" t="n"/>
    </row>
    <row r="229">
      <c r="A229" s="19" t="n"/>
    </row>
    <row r="230">
      <c r="A230" s="19" t="n"/>
    </row>
    <row r="231">
      <c r="A231" s="19" t="n"/>
    </row>
    <row r="232">
      <c r="A232" s="19" t="n"/>
    </row>
    <row r="233">
      <c r="A233" s="19" t="n"/>
    </row>
    <row r="234">
      <c r="A234" s="19" t="n"/>
    </row>
    <row r="235">
      <c r="A235" s="19" t="n"/>
    </row>
    <row r="236">
      <c r="A236" s="19" t="n"/>
    </row>
    <row r="237">
      <c r="A237" s="19" t="n"/>
    </row>
    <row r="238">
      <c r="A238" s="19" t="n"/>
    </row>
    <row r="239">
      <c r="A239" s="19" t="n"/>
    </row>
    <row r="240">
      <c r="A240" s="19" t="n"/>
    </row>
    <row r="241">
      <c r="A241" s="19" t="n"/>
    </row>
    <row r="242">
      <c r="A242" s="19" t="n"/>
    </row>
    <row r="243">
      <c r="A243" s="19" t="n"/>
    </row>
    <row r="244">
      <c r="A244" s="19" t="n"/>
    </row>
    <row r="245">
      <c r="A245" s="19" t="n"/>
    </row>
    <row r="246">
      <c r="A246" s="19" t="n"/>
    </row>
    <row r="247">
      <c r="A247" s="19" t="n"/>
    </row>
    <row r="248">
      <c r="A248" s="19" t="n"/>
    </row>
    <row r="249">
      <c r="A249" s="19" t="n"/>
    </row>
    <row r="250">
      <c r="A250" s="19" t="n"/>
    </row>
    <row r="251">
      <c r="A251" s="19" t="n"/>
    </row>
    <row r="252">
      <c r="A252" s="19" t="n"/>
    </row>
    <row r="253">
      <c r="A253" s="19" t="n"/>
    </row>
    <row r="254">
      <c r="A254" s="19" t="n"/>
    </row>
    <row r="255">
      <c r="A255" s="19" t="n"/>
    </row>
    <row r="256">
      <c r="A256" s="19" t="n"/>
    </row>
    <row r="257">
      <c r="A257" s="19" t="n"/>
    </row>
    <row r="258">
      <c r="A258" s="19" t="n"/>
    </row>
    <row r="259">
      <c r="A259" s="19" t="n"/>
    </row>
    <row r="260">
      <c r="A260" s="19" t="n"/>
    </row>
    <row r="261">
      <c r="A261" s="19" t="n"/>
    </row>
    <row r="262">
      <c r="A262" s="19" t="n"/>
    </row>
    <row r="263">
      <c r="A263" s="19" t="n"/>
    </row>
    <row r="264">
      <c r="A264" s="19" t="n"/>
    </row>
    <row r="265">
      <c r="A265" s="19" t="n"/>
    </row>
    <row r="266">
      <c r="A266" s="19" t="n"/>
    </row>
    <row r="267">
      <c r="A267" s="19" t="n"/>
    </row>
    <row r="268">
      <c r="A268" s="19" t="n"/>
    </row>
    <row r="269">
      <c r="A269" s="19" t="n"/>
    </row>
    <row r="270">
      <c r="A270" s="19" t="n"/>
    </row>
    <row r="271">
      <c r="A271" s="19" t="n"/>
    </row>
    <row r="272">
      <c r="A272" s="19" t="n"/>
    </row>
    <row r="273">
      <c r="A273" s="19" t="n"/>
    </row>
    <row r="274">
      <c r="A274" s="19" t="n"/>
    </row>
    <row r="275">
      <c r="A275" s="19" t="n"/>
    </row>
    <row r="276">
      <c r="A276" s="19" t="n"/>
    </row>
    <row r="277">
      <c r="A277" s="19" t="n"/>
    </row>
    <row r="278">
      <c r="A278" s="19" t="n"/>
    </row>
    <row r="279">
      <c r="A279" s="19" t="n"/>
    </row>
    <row r="280">
      <c r="A280" s="19" t="n"/>
    </row>
    <row r="281">
      <c r="A281" s="19" t="n"/>
    </row>
    <row r="282">
      <c r="A282" s="19" t="n"/>
    </row>
    <row r="283">
      <c r="A283" s="19" t="n"/>
    </row>
    <row r="284">
      <c r="A284" s="19" t="n"/>
    </row>
    <row r="285">
      <c r="A285" s="19" t="n"/>
    </row>
    <row r="286">
      <c r="A286" s="19" t="n"/>
    </row>
    <row r="287">
      <c r="A287" s="19" t="n"/>
    </row>
    <row r="288">
      <c r="A288" s="19" t="n"/>
    </row>
    <row r="289">
      <c r="A289" s="19" t="n"/>
    </row>
    <row r="290">
      <c r="A290" s="19" t="n"/>
    </row>
    <row r="291">
      <c r="A291" s="19" t="n"/>
    </row>
    <row r="292">
      <c r="A292" s="19" t="n"/>
    </row>
    <row r="293">
      <c r="A293" s="19" t="n"/>
    </row>
    <row r="294">
      <c r="A294" s="19" t="n"/>
    </row>
    <row r="295">
      <c r="A295" s="19" t="n"/>
    </row>
    <row r="296">
      <c r="A296" s="19" t="n"/>
    </row>
    <row r="297">
      <c r="A297" s="19" t="n"/>
    </row>
    <row r="298">
      <c r="A298" s="19" t="n"/>
    </row>
    <row r="299">
      <c r="A299" s="19" t="n"/>
    </row>
    <row r="300">
      <c r="A300" s="19" t="n"/>
    </row>
    <row r="301">
      <c r="A301" s="19" t="n"/>
    </row>
    <row r="302">
      <c r="A302" s="19" t="n"/>
    </row>
    <row r="303">
      <c r="A303" s="19" t="n"/>
    </row>
    <row r="304">
      <c r="A304" s="19" t="n"/>
    </row>
    <row r="305">
      <c r="A305" s="19" t="n"/>
    </row>
    <row r="306">
      <c r="A306" s="19" t="n"/>
    </row>
    <row r="307">
      <c r="A307" s="19" t="n"/>
    </row>
    <row r="308">
      <c r="A308" s="19" t="n"/>
    </row>
    <row r="309">
      <c r="A309" s="19" t="n"/>
    </row>
    <row r="310">
      <c r="A310" s="19" t="n"/>
    </row>
    <row r="311">
      <c r="A311" s="19" t="n"/>
    </row>
    <row r="312">
      <c r="A312" s="19" t="n"/>
    </row>
    <row r="313">
      <c r="A313" s="19" t="n"/>
    </row>
    <row r="314">
      <c r="A314" s="19" t="n"/>
    </row>
    <row r="315">
      <c r="A315" s="19" t="n"/>
    </row>
    <row r="316">
      <c r="A316" s="19" t="n"/>
    </row>
    <row r="317">
      <c r="A317" s="19" t="n"/>
    </row>
    <row r="318">
      <c r="A318" s="19" t="n"/>
    </row>
    <row r="319">
      <c r="A319" s="19" t="n"/>
    </row>
    <row r="320">
      <c r="A320" s="19" t="n"/>
    </row>
    <row r="321">
      <c r="A321" s="19" t="n"/>
    </row>
    <row r="322">
      <c r="A322" s="19" t="n"/>
    </row>
    <row r="323">
      <c r="A323" s="19" t="n"/>
    </row>
    <row r="324">
      <c r="A324" s="19" t="n"/>
    </row>
    <row r="325">
      <c r="A325" s="19" t="n"/>
    </row>
    <row r="326">
      <c r="A326" s="19" t="n"/>
    </row>
    <row r="327">
      <c r="A327" s="19" t="n"/>
    </row>
    <row r="328">
      <c r="A328" s="19" t="n"/>
    </row>
    <row r="329">
      <c r="A329" s="19" t="n"/>
    </row>
    <row r="330">
      <c r="A330" s="19" t="n"/>
    </row>
    <row r="331">
      <c r="A331" s="19" t="n"/>
    </row>
    <row r="332">
      <c r="A332" s="19" t="n"/>
    </row>
    <row r="333">
      <c r="A333" s="19" t="n"/>
    </row>
    <row r="334">
      <c r="A334" s="19" t="n"/>
    </row>
    <row r="335">
      <c r="A335" s="19" t="n"/>
    </row>
    <row r="336">
      <c r="A336" s="19" t="n"/>
    </row>
    <row r="337">
      <c r="A337" s="19" t="n"/>
    </row>
    <row r="338">
      <c r="A338" s="19" t="n"/>
    </row>
    <row r="339">
      <c r="A339" s="19" t="n"/>
    </row>
    <row r="340">
      <c r="A340" s="19" t="n"/>
    </row>
    <row r="341">
      <c r="A341" s="19" t="n"/>
    </row>
    <row r="342">
      <c r="A342" s="19" t="n"/>
    </row>
    <row r="343">
      <c r="A343" s="19" t="n"/>
    </row>
    <row r="344">
      <c r="A344" s="19" t="n"/>
    </row>
    <row r="345">
      <c r="A345" s="19" t="n"/>
    </row>
    <row r="346">
      <c r="A346" s="19" t="n"/>
    </row>
    <row r="347">
      <c r="A347" s="19" t="n"/>
    </row>
    <row r="348">
      <c r="A348" s="19" t="n"/>
    </row>
    <row r="349">
      <c r="A349" s="19" t="n"/>
    </row>
    <row r="350">
      <c r="A350" s="19" t="n"/>
    </row>
    <row r="351">
      <c r="A351" s="19" t="n"/>
    </row>
    <row r="352">
      <c r="A352" s="19" t="n"/>
    </row>
    <row r="353">
      <c r="A353" s="19" t="n"/>
    </row>
    <row r="354">
      <c r="A354" s="19" t="n"/>
    </row>
    <row r="355">
      <c r="A355" s="19" t="n"/>
    </row>
    <row r="356">
      <c r="A356" s="19" t="n"/>
    </row>
    <row r="357">
      <c r="A357" s="19" t="n"/>
    </row>
    <row r="358">
      <c r="A358" s="19" t="n"/>
    </row>
    <row r="359">
      <c r="A359" s="19" t="n"/>
    </row>
    <row r="360">
      <c r="A360" s="19" t="n"/>
    </row>
    <row r="361">
      <c r="A361" s="19" t="n"/>
    </row>
    <row r="362">
      <c r="A362" s="19" t="n"/>
    </row>
    <row r="363">
      <c r="A363" s="19" t="n"/>
    </row>
    <row r="364">
      <c r="A364" s="19" t="n"/>
    </row>
    <row r="365">
      <c r="A365" s="19" t="n"/>
    </row>
    <row r="366">
      <c r="A366" s="19" t="n"/>
    </row>
    <row r="367">
      <c r="A367" s="19" t="n"/>
    </row>
    <row r="368">
      <c r="A368" s="19" t="n"/>
    </row>
    <row r="369">
      <c r="A369" s="19" t="n"/>
    </row>
    <row r="370">
      <c r="A370" s="19" t="n"/>
    </row>
    <row r="371">
      <c r="A371" s="19" t="n"/>
    </row>
    <row r="372">
      <c r="A372" s="19" t="n"/>
    </row>
    <row r="373">
      <c r="A373" s="19" t="n"/>
    </row>
    <row r="374">
      <c r="A374" s="19" t="n"/>
    </row>
    <row r="375">
      <c r="A375" s="19" t="n"/>
    </row>
    <row r="376">
      <c r="A376" s="19" t="n"/>
    </row>
    <row r="377">
      <c r="A377" s="19" t="n"/>
    </row>
    <row r="378">
      <c r="A378" s="19" t="n"/>
    </row>
    <row r="379">
      <c r="A379" s="19" t="n"/>
    </row>
    <row r="380">
      <c r="A380" s="19" t="n"/>
    </row>
    <row r="381">
      <c r="A381" s="19" t="n"/>
    </row>
    <row r="382">
      <c r="A382" s="19" t="n"/>
    </row>
    <row r="383">
      <c r="A383" s="19" t="n"/>
    </row>
    <row r="384">
      <c r="A384" s="19" t="n"/>
    </row>
    <row r="385">
      <c r="A385" s="19" t="n"/>
    </row>
    <row r="386">
      <c r="A386" s="19" t="n"/>
    </row>
    <row r="387">
      <c r="A387" s="19" t="n"/>
    </row>
    <row r="388">
      <c r="A388" s="19" t="n"/>
    </row>
    <row r="389">
      <c r="A389" s="19" t="n"/>
    </row>
    <row r="390">
      <c r="A390" s="19" t="n"/>
    </row>
    <row r="391">
      <c r="A391" s="19" t="n"/>
    </row>
    <row r="392">
      <c r="A392" s="19" t="n"/>
    </row>
    <row r="393">
      <c r="A393" s="19" t="n"/>
    </row>
    <row r="394">
      <c r="A394" s="19" t="n"/>
    </row>
    <row r="395">
      <c r="A395" s="19" t="n"/>
    </row>
    <row r="396">
      <c r="A396" s="19" t="n"/>
    </row>
    <row r="397">
      <c r="A397" s="19" t="n"/>
    </row>
    <row r="398">
      <c r="A398" s="19" t="n"/>
    </row>
    <row r="399">
      <c r="A399" s="19" t="n"/>
    </row>
    <row r="400">
      <c r="A400" s="19" t="n"/>
    </row>
    <row r="401">
      <c r="A401" s="19" t="n"/>
    </row>
    <row r="402">
      <c r="A402" s="19" t="n"/>
    </row>
    <row r="403">
      <c r="A403" s="19" t="n"/>
    </row>
    <row r="404">
      <c r="A404" s="19" t="n"/>
    </row>
    <row r="405">
      <c r="A405" s="19" t="n"/>
    </row>
    <row r="406">
      <c r="A406" s="19" t="n"/>
    </row>
    <row r="407">
      <c r="A407" s="19" t="n"/>
    </row>
    <row r="408">
      <c r="A408" s="19" t="n"/>
    </row>
    <row r="409">
      <c r="A409" s="19" t="n"/>
    </row>
    <row r="410">
      <c r="A410" s="19" t="n"/>
    </row>
    <row r="411">
      <c r="A411" s="19" t="n"/>
    </row>
    <row r="412">
      <c r="A412" s="19" t="n"/>
    </row>
    <row r="413">
      <c r="A413" s="19" t="n"/>
    </row>
    <row r="414">
      <c r="A414" s="19" t="n"/>
    </row>
    <row r="415">
      <c r="A415" s="19" t="n"/>
    </row>
    <row r="416">
      <c r="A416" s="19" t="n"/>
    </row>
    <row r="417">
      <c r="A417" s="19" t="n"/>
    </row>
    <row r="418">
      <c r="A418" s="19" t="n"/>
    </row>
    <row r="419">
      <c r="A419" s="19" t="n"/>
    </row>
    <row r="420">
      <c r="A420" s="19" t="n"/>
    </row>
    <row r="421">
      <c r="A421" s="19" t="n"/>
    </row>
    <row r="422">
      <c r="A422" s="19" t="n"/>
    </row>
    <row r="423">
      <c r="A423" s="19" t="n"/>
    </row>
    <row r="424">
      <c r="A424" s="19" t="n"/>
    </row>
    <row r="425">
      <c r="A425" s="19" t="n"/>
    </row>
    <row r="426">
      <c r="A426" s="19" t="n"/>
    </row>
    <row r="427">
      <c r="A427" s="19" t="n"/>
    </row>
    <row r="428">
      <c r="A428" s="19" t="n"/>
    </row>
    <row r="429">
      <c r="A429" s="19" t="n"/>
    </row>
    <row r="430">
      <c r="A430" s="19" t="n"/>
    </row>
    <row r="431">
      <c r="A431" s="19" t="n"/>
    </row>
    <row r="432">
      <c r="A432" s="19" t="n"/>
    </row>
    <row r="433">
      <c r="A433" s="19" t="n"/>
    </row>
    <row r="434">
      <c r="A434" s="19" t="n"/>
    </row>
    <row r="435">
      <c r="A435" s="19" t="n"/>
    </row>
    <row r="436">
      <c r="A436" s="19" t="n"/>
    </row>
    <row r="437">
      <c r="A437" s="19" t="n"/>
    </row>
    <row r="438">
      <c r="A438" s="19" t="n"/>
    </row>
    <row r="439">
      <c r="A439" s="19" t="n"/>
    </row>
    <row r="440">
      <c r="A440" s="19" t="n"/>
    </row>
    <row r="441">
      <c r="A441" s="19" t="n"/>
    </row>
    <row r="442">
      <c r="A442" s="19" t="n"/>
    </row>
    <row r="443">
      <c r="A443" s="19" t="n"/>
    </row>
    <row r="444">
      <c r="A444" s="19" t="n"/>
    </row>
    <row r="445">
      <c r="A445" s="19" t="n"/>
    </row>
    <row r="446">
      <c r="A446" s="19" t="n"/>
    </row>
    <row r="447">
      <c r="A447" s="19" t="n"/>
    </row>
    <row r="448">
      <c r="A448" s="19" t="n"/>
    </row>
    <row r="449">
      <c r="A449" s="19" t="n"/>
    </row>
    <row r="450">
      <c r="A450" s="19" t="n"/>
    </row>
    <row r="451">
      <c r="A451" s="19" t="n"/>
    </row>
    <row r="452">
      <c r="A452" s="19" t="n"/>
    </row>
    <row r="453">
      <c r="A453" s="19" t="n"/>
    </row>
    <row r="454">
      <c r="A454" s="19" t="n"/>
    </row>
    <row r="455">
      <c r="A455" s="19" t="n"/>
    </row>
    <row r="456">
      <c r="A456" s="19" t="n"/>
    </row>
    <row r="457">
      <c r="A457" s="19" t="n"/>
    </row>
    <row r="458">
      <c r="A458" s="19" t="n"/>
    </row>
    <row r="459">
      <c r="A459" s="19" t="n"/>
    </row>
    <row r="460">
      <c r="A460" s="19" t="n"/>
    </row>
    <row r="461">
      <c r="A461" s="19" t="n"/>
    </row>
    <row r="462">
      <c r="A462" s="19" t="n"/>
    </row>
    <row r="463">
      <c r="A463" s="19" t="n"/>
    </row>
    <row r="464">
      <c r="A464" s="19" t="n"/>
    </row>
    <row r="465">
      <c r="A465" s="19" t="n"/>
    </row>
    <row r="466">
      <c r="A466" s="19" t="n"/>
    </row>
    <row r="467">
      <c r="A467" s="19" t="n"/>
    </row>
    <row r="468">
      <c r="A468" s="19" t="n"/>
    </row>
    <row r="469">
      <c r="A469" s="19" t="n"/>
    </row>
    <row r="470">
      <c r="A470" s="19" t="n"/>
    </row>
    <row r="471">
      <c r="A471" s="19" t="n"/>
    </row>
    <row r="472">
      <c r="A472" s="19" t="n"/>
    </row>
    <row r="473">
      <c r="A473" s="19" t="n"/>
    </row>
    <row r="474">
      <c r="A474" s="19" t="n"/>
    </row>
    <row r="475">
      <c r="A475" s="19" t="n"/>
    </row>
    <row r="476">
      <c r="A476" s="19" t="n"/>
    </row>
    <row r="477">
      <c r="A477" s="19" t="n"/>
    </row>
    <row r="478">
      <c r="A478" s="19" t="n"/>
    </row>
    <row r="479">
      <c r="A479" s="19" t="n"/>
    </row>
    <row r="480">
      <c r="A480" s="19" t="n"/>
    </row>
    <row r="481">
      <c r="A481" s="19" t="n"/>
    </row>
    <row r="482">
      <c r="A482" s="19" t="n"/>
    </row>
    <row r="483">
      <c r="A483" s="19" t="n"/>
    </row>
    <row r="484">
      <c r="A484" s="19" t="n"/>
    </row>
    <row r="485">
      <c r="A485" s="19" t="n"/>
    </row>
    <row r="486">
      <c r="A486" s="19" t="n"/>
    </row>
    <row r="487">
      <c r="A487" s="19" t="n"/>
    </row>
    <row r="488">
      <c r="A488" s="19" t="n"/>
    </row>
    <row r="489">
      <c r="A489" s="19" t="n"/>
    </row>
    <row r="490">
      <c r="A490" s="19" t="n"/>
    </row>
    <row r="491">
      <c r="A491" s="19" t="n"/>
    </row>
    <row r="492">
      <c r="A492" s="19" t="n"/>
    </row>
    <row r="493">
      <c r="A493" s="19" t="n"/>
    </row>
    <row r="494">
      <c r="A494" s="19" t="n"/>
    </row>
    <row r="495">
      <c r="A495" s="19" t="n"/>
    </row>
    <row r="496">
      <c r="A496" s="19" t="n"/>
    </row>
    <row r="497">
      <c r="A497" s="19" t="n"/>
    </row>
    <row r="498">
      <c r="A498" s="19" t="n"/>
    </row>
    <row r="499">
      <c r="A499" s="19" t="n"/>
    </row>
    <row r="500">
      <c r="A500" s="19" t="n"/>
    </row>
    <row r="501">
      <c r="A501" s="19" t="n"/>
    </row>
    <row r="502">
      <c r="A502" s="19" t="n"/>
    </row>
    <row r="503">
      <c r="A503" s="19" t="n"/>
    </row>
    <row r="504">
      <c r="A504" s="19" t="n"/>
    </row>
    <row r="505">
      <c r="A505" s="19" t="n"/>
    </row>
    <row r="506">
      <c r="A506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FD0"/>
    <outlinePr summaryBelow="1" summaryRight="1"/>
    <pageSetUpPr/>
  </sheetPr>
  <dimension ref="A1:I46"/>
  <sheetViews>
    <sheetView zoomScale="115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3" customWidth="1" min="7" max="7"/>
    <col width="40" customWidth="1" min="8" max="8"/>
    <col width="16" customWidth="1" min="9" max="9"/>
    <col width="34" customWidth="1" min="10" max="10"/>
  </cols>
  <sheetData>
    <row r="1" ht="30" customHeight="1">
      <c r="A1" s="12" t="inlineStr">
        <is>
          <t>B · Tabla de valores y frecuencias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7" t="inlineStr">
        <is>
          <t>Cuando te dan la tabla (valores xᵢ y sus frecuencias nᵢ) en vez de los datos sueltos.</t>
        </is>
      </c>
    </row>
    <row r="3">
      <c r="A3" s="14" t="inlineStr">
        <is>
          <t>Escribe los valores ORDENADOS de menor a mayor en A y sus frecuencias en B (absolutas o relativas). Usa la receta de clase para mediana y cuantiles.</t>
        </is>
      </c>
    </row>
    <row r="4">
      <c r="A4" s="15" t="inlineStr">
        <is>
          <t>Amarillo: escribe o pega aquí tus datos.  Verde: resultados (no los toques).</t>
        </is>
      </c>
    </row>
    <row r="5">
      <c r="H5" s="16" t="inlineStr">
        <is>
          <t>Cuantil que quieres (tanto por uno) →</t>
        </is>
      </c>
      <c r="I5" s="17" t="n">
        <v>0.75</v>
      </c>
    </row>
    <row r="6">
      <c r="A6" s="3" t="inlineStr">
        <is>
          <t>xᵢ</t>
        </is>
      </c>
      <c r="B6" s="3" t="inlineStr">
        <is>
          <t>nᵢ</t>
        </is>
      </c>
      <c r="C6" s="3" t="inlineStr">
        <is>
          <t>fᵢ</t>
        </is>
      </c>
      <c r="D6" s="3" t="inlineStr">
        <is>
          <t>Nᵢ</t>
        </is>
      </c>
      <c r="E6" s="3" t="inlineStr">
        <is>
          <t>xᵢ·nᵢ</t>
        </is>
      </c>
      <c r="F6" s="3" t="inlineStr">
        <is>
          <t>xᵢ²·nᵢ</t>
        </is>
      </c>
    </row>
    <row r="7">
      <c r="A7" s="19" t="n"/>
      <c r="B7" s="19" t="n"/>
      <c r="C7" s="21">
        <f>IF(B7="","",B7/SUM($B$7:$B$46))</f>
        <v/>
      </c>
      <c r="D7" s="26">
        <f>IF(B7="","",SUM($B$7:B7))</f>
        <v/>
      </c>
      <c r="E7" s="26">
        <f>IF(B7="","",A7*B7)</f>
        <v/>
      </c>
      <c r="F7" s="26">
        <f>IF(B7="","",A7^2*B7)</f>
        <v/>
      </c>
      <c r="H7" s="18" t="inlineStr">
        <is>
          <t>n (suma de frecuencias)</t>
        </is>
      </c>
      <c r="I7" s="27">
        <f>IFERROR(SUM($B$7:$B$46),"")</f>
        <v/>
      </c>
    </row>
    <row r="8">
      <c r="A8" s="19" t="n"/>
      <c r="B8" s="19" t="n"/>
      <c r="C8" s="21">
        <f>IF(B8="","",B8/SUM($B$7:$B$46))</f>
        <v/>
      </c>
      <c r="D8" s="26">
        <f>IF(B8="","",SUM($B$7:B8))</f>
        <v/>
      </c>
      <c r="E8" s="26">
        <f>IF(B8="","",A8*B8)</f>
        <v/>
      </c>
      <c r="F8" s="26">
        <f>IF(B8="","",A8^2*B8)</f>
        <v/>
      </c>
      <c r="H8" s="18" t="inlineStr">
        <is>
          <t>Media</t>
        </is>
      </c>
      <c r="I8" s="24">
        <f>IFERROR(SUM(E7:E46)/SUM($B$7:$B$46),"")</f>
        <v/>
      </c>
    </row>
    <row r="9">
      <c r="A9" s="19" t="n"/>
      <c r="B9" s="19" t="n"/>
      <c r="C9" s="21">
        <f>IF(B9="","",B9/SUM($B$7:$B$46))</f>
        <v/>
      </c>
      <c r="D9" s="26">
        <f>IF(B9="","",SUM($B$7:B9))</f>
        <v/>
      </c>
      <c r="E9" s="26">
        <f>IF(B9="","",A9*B9)</f>
        <v/>
      </c>
      <c r="F9" s="26">
        <f>IF(B9="","",A9^2*B9)</f>
        <v/>
      </c>
      <c r="H9" s="18" t="inlineStr">
        <is>
          <t>Varianza S²</t>
        </is>
      </c>
      <c r="I9" s="24">
        <f>IFERROR(SUM(F7:F46)/SUM($B$7:$B$46)-(SUM(E7:E46)/SUM($B$7:$B$46))^2,"")</f>
        <v/>
      </c>
    </row>
    <row r="10">
      <c r="A10" s="19" t="n"/>
      <c r="B10" s="19" t="n"/>
      <c r="C10" s="21">
        <f>IF(B10="","",B10/SUM($B$7:$B$46))</f>
        <v/>
      </c>
      <c r="D10" s="26">
        <f>IF(B10="","",SUM($B$7:B10))</f>
        <v/>
      </c>
      <c r="E10" s="26">
        <f>IF(B10="","",A10*B10)</f>
        <v/>
      </c>
      <c r="F10" s="26">
        <f>IF(B10="","",A10^2*B10)</f>
        <v/>
      </c>
      <c r="H10" s="18" t="inlineStr">
        <is>
          <t>Desviación típica S</t>
        </is>
      </c>
      <c r="I10" s="24">
        <f>IFERROR(SQRT(I9),"")</f>
        <v/>
      </c>
    </row>
    <row r="11">
      <c r="A11" s="19" t="n"/>
      <c r="B11" s="19" t="n"/>
      <c r="C11" s="21">
        <f>IF(B11="","",B11/SUM($B$7:$B$46))</f>
        <v/>
      </c>
      <c r="D11" s="26">
        <f>IF(B11="","",SUM($B$7:B11))</f>
        <v/>
      </c>
      <c r="E11" s="26">
        <f>IF(B11="","",A11*B11)</f>
        <v/>
      </c>
      <c r="F11" s="26">
        <f>IF(B11="","",A11^2*B11)</f>
        <v/>
      </c>
      <c r="H11" s="18" t="inlineStr">
        <is>
          <t>Cuasivarianza s² (solo con frecuencias absolutas)</t>
        </is>
      </c>
      <c r="I11" s="24">
        <f>IFERROR(I9*SUM($B$7:$B$46)/(SUM($B$7:$B$46)-1),"")</f>
        <v/>
      </c>
    </row>
    <row r="12">
      <c r="A12" s="19" t="n"/>
      <c r="B12" s="19" t="n"/>
      <c r="C12" s="21">
        <f>IF(B12="","",B12/SUM($B$7:$B$46))</f>
        <v/>
      </c>
      <c r="D12" s="26">
        <f>IF(B12="","",SUM($B$7:B12))</f>
        <v/>
      </c>
      <c r="E12" s="26">
        <f>IF(B12="","",A12*B12)</f>
        <v/>
      </c>
      <c r="F12" s="26">
        <f>IF(B12="","",A12^2*B12)</f>
        <v/>
      </c>
      <c r="H12" s="18" t="inlineStr">
        <is>
          <t>Coeficiente de variación</t>
        </is>
      </c>
      <c r="I12" s="24">
        <f>IFERROR(I10/I8,"")</f>
        <v/>
      </c>
    </row>
    <row r="13">
      <c r="A13" s="19" t="n"/>
      <c r="B13" s="19" t="n"/>
      <c r="C13" s="21">
        <f>IF(B13="","",B13/SUM($B$7:$B$46))</f>
        <v/>
      </c>
      <c r="D13" s="26">
        <f>IF(B13="","",SUM($B$7:B13))</f>
        <v/>
      </c>
      <c r="E13" s="26">
        <f>IF(B13="","",A13*B13)</f>
        <v/>
      </c>
      <c r="F13" s="26">
        <f>IF(B13="","",A13^2*B13)</f>
        <v/>
      </c>
      <c r="H13" s="18" t="inlineStr">
        <is>
          <t>Moda</t>
        </is>
      </c>
      <c r="I13" s="27">
        <f>IFERROR(INDEX($A$7:$A$46,MATCH(MAX($B$7:$B$46),$B$7:$B$46,0)),"")</f>
        <v/>
      </c>
    </row>
    <row r="14">
      <c r="A14" s="19" t="n"/>
      <c r="B14" s="19" t="n"/>
      <c r="C14" s="21">
        <f>IF(B14="","",B14/SUM($B$7:$B$46))</f>
        <v/>
      </c>
      <c r="D14" s="26">
        <f>IF(B14="","",SUM($B$7:B14))</f>
        <v/>
      </c>
      <c r="E14" s="26">
        <f>IF(B14="","",A14*B14)</f>
        <v/>
      </c>
      <c r="F14" s="26">
        <f>IF(B14="","",A14^2*B14)</f>
        <v/>
      </c>
      <c r="H14" s="18" t="inlineStr">
        <is>
          <t>Mediana (receta de clase)</t>
        </is>
      </c>
      <c r="I14" s="27">
        <f>IFERROR(IF(ABS(INDEX($D$7:$D$46,(COUNTIF($D$7:$D$46,"&lt;"&amp;0.5*SUM($B$7:$B$46)-1E-9)+1))-0.5*SUM($B$7:$B$46))&lt;1E-9,(INDEX($A$7:$A$46,(COUNTIF($D$7:$D$46,"&lt;"&amp;0.5*SUM($B$7:$B$46)-1E-9)+1))+INDEX($A$7:$A$46,(COUNTIF($D$7:$D$46,"&lt;"&amp;0.5*SUM($B$7:$B$46)-1E-9)+1)+1))/2,INDEX($A$7:$A$46,(COUNTIF($D$7:$D$46,"&lt;"&amp;0.5*SUM($B$7:$B$46)-1E-9)+1))),"")</f>
        <v/>
      </c>
    </row>
    <row r="15">
      <c r="A15" s="19" t="n"/>
      <c r="B15" s="19" t="n"/>
      <c r="C15" s="21">
        <f>IF(B15="","",B15/SUM($B$7:$B$46))</f>
        <v/>
      </c>
      <c r="D15" s="26">
        <f>IF(B15="","",SUM($B$7:B15))</f>
        <v/>
      </c>
      <c r="E15" s="26">
        <f>IF(B15="","",A15*B15)</f>
        <v/>
      </c>
      <c r="F15" s="26">
        <f>IF(B15="","",A15^2*B15)</f>
        <v/>
      </c>
      <c r="H15" s="18" t="inlineStr">
        <is>
          <t>C₁ (receta de clase)</t>
        </is>
      </c>
      <c r="I15" s="27">
        <f>IFERROR(IF(ABS(INDEX($D$7:$D$46,(COUNTIF($D$7:$D$46,"&lt;"&amp;0.25*SUM($B$7:$B$46)-1E-9)+1))-0.25*SUM($B$7:$B$46))&lt;1E-9,(INDEX($A$7:$A$46,(COUNTIF($D$7:$D$46,"&lt;"&amp;0.25*SUM($B$7:$B$46)-1E-9)+1))+INDEX($A$7:$A$46,(COUNTIF($D$7:$D$46,"&lt;"&amp;0.25*SUM($B$7:$B$46)-1E-9)+1)+1))/2,INDEX($A$7:$A$46,(COUNTIF($D$7:$D$46,"&lt;"&amp;0.25*SUM($B$7:$B$46)-1E-9)+1))),"")</f>
        <v/>
      </c>
    </row>
    <row r="16">
      <c r="A16" s="19" t="n"/>
      <c r="B16" s="19" t="n"/>
      <c r="C16" s="21">
        <f>IF(B16="","",B16/SUM($B$7:$B$46))</f>
        <v/>
      </c>
      <c r="D16" s="26">
        <f>IF(B16="","",SUM($B$7:B16))</f>
        <v/>
      </c>
      <c r="E16" s="26">
        <f>IF(B16="","",A16*B16)</f>
        <v/>
      </c>
      <c r="F16" s="26">
        <f>IF(B16="","",A16^2*B16)</f>
        <v/>
      </c>
      <c r="H16" s="18" t="inlineStr">
        <is>
          <t>C₃ (receta de clase)</t>
        </is>
      </c>
      <c r="I16" s="27">
        <f>IFERROR(IF(ABS(INDEX($D$7:$D$46,(COUNTIF($D$7:$D$46,"&lt;"&amp;0.75*SUM($B$7:$B$46)-1E-9)+1))-0.75*SUM($B$7:$B$46))&lt;1E-9,(INDEX($A$7:$A$46,(COUNTIF($D$7:$D$46,"&lt;"&amp;0.75*SUM($B$7:$B$46)-1E-9)+1))+INDEX($A$7:$A$46,(COUNTIF($D$7:$D$46,"&lt;"&amp;0.75*SUM($B$7:$B$46)-1E-9)+1)+1))/2,INDEX($A$7:$A$46,(COUNTIF($D$7:$D$46,"&lt;"&amp;0.75*SUM($B$7:$B$46)-1E-9)+1))),"")</f>
        <v/>
      </c>
    </row>
    <row r="17">
      <c r="A17" s="19" t="n"/>
      <c r="B17" s="19" t="n"/>
      <c r="C17" s="21">
        <f>IF(B17="","",B17/SUM($B$7:$B$46))</f>
        <v/>
      </c>
      <c r="D17" s="26">
        <f>IF(B17="","",SUM($B$7:B17))</f>
        <v/>
      </c>
      <c r="E17" s="26">
        <f>IF(B17="","",A17*B17)</f>
        <v/>
      </c>
      <c r="F17" s="26">
        <f>IF(B17="","",A17^2*B17)</f>
        <v/>
      </c>
      <c r="H17" s="18" t="inlineStr">
        <is>
          <t>Cuantil elegido (I5)</t>
        </is>
      </c>
      <c r="I17" s="27">
        <f>IFERROR(IF(ABS(INDEX($D$7:$D$46,(COUNTIF($D$7:$D$46,"&lt;"&amp;I5*SUM($B$7:$B$46)-1E-9)+1))-I5*SUM($B$7:$B$46))&lt;1E-9,(INDEX($A$7:$A$46,(COUNTIF($D$7:$D$46,"&lt;"&amp;I5*SUM($B$7:$B$46)-1E-9)+1))+INDEX($A$7:$A$46,(COUNTIF($D$7:$D$46,"&lt;"&amp;I5*SUM($B$7:$B$46)-1E-9)+1)+1))/2,INDEX($A$7:$A$46,(COUNTIF($D$7:$D$46,"&lt;"&amp;I5*SUM($B$7:$B$46)-1E-9)+1))),"")</f>
        <v/>
      </c>
    </row>
    <row r="18">
      <c r="A18" s="19" t="n"/>
      <c r="B18" s="19" t="n"/>
      <c r="C18" s="21">
        <f>IF(B18="","",B18/SUM($B$7:$B$46))</f>
        <v/>
      </c>
      <c r="D18" s="26">
        <f>IF(B18="","",SUM($B$7:B18))</f>
        <v/>
      </c>
      <c r="E18" s="26">
        <f>IF(B18="","",A18*B18)</f>
        <v/>
      </c>
      <c r="F18" s="26">
        <f>IF(B18="","",A18^2*B18)</f>
        <v/>
      </c>
    </row>
    <row r="19">
      <c r="A19" s="19" t="n"/>
      <c r="B19" s="19" t="n"/>
      <c r="C19" s="21">
        <f>IF(B19="","",B19/SUM($B$7:$B$46))</f>
        <v/>
      </c>
      <c r="D19" s="26">
        <f>IF(B19="","",SUM($B$7:B19))</f>
        <v/>
      </c>
      <c r="E19" s="26">
        <f>IF(B19="","",A19*B19)</f>
        <v/>
      </c>
      <c r="F19" s="26">
        <f>IF(B19="","",A19^2*B19)</f>
        <v/>
      </c>
    </row>
    <row r="20">
      <c r="A20" s="19" t="n"/>
      <c r="B20" s="19" t="n"/>
      <c r="C20" s="21">
        <f>IF(B20="","",B20/SUM($B$7:$B$46))</f>
        <v/>
      </c>
      <c r="D20" s="26">
        <f>IF(B20="","",SUM($B$7:B20))</f>
        <v/>
      </c>
      <c r="E20" s="26">
        <f>IF(B20="","",A20*B20)</f>
        <v/>
      </c>
      <c r="F20" s="26">
        <f>IF(B20="","",A20^2*B20)</f>
        <v/>
      </c>
    </row>
    <row r="21">
      <c r="A21" s="19" t="n"/>
      <c r="B21" s="19" t="n"/>
      <c r="C21" s="21">
        <f>IF(B21="","",B21/SUM($B$7:$B$46))</f>
        <v/>
      </c>
      <c r="D21" s="26">
        <f>IF(B21="","",SUM($B$7:B21))</f>
        <v/>
      </c>
      <c r="E21" s="26">
        <f>IF(B21="","",A21*B21)</f>
        <v/>
      </c>
      <c r="F21" s="26">
        <f>IF(B21="","",A21^2*B21)</f>
        <v/>
      </c>
    </row>
    <row r="22">
      <c r="A22" s="19" t="n"/>
      <c r="B22" s="19" t="n"/>
      <c r="C22" s="21">
        <f>IF(B22="","",B22/SUM($B$7:$B$46))</f>
        <v/>
      </c>
      <c r="D22" s="26">
        <f>IF(B22="","",SUM($B$7:B22))</f>
        <v/>
      </c>
      <c r="E22" s="26">
        <f>IF(B22="","",A22*B22)</f>
        <v/>
      </c>
      <c r="F22" s="26">
        <f>IF(B22="","",A22^2*B22)</f>
        <v/>
      </c>
    </row>
    <row r="23">
      <c r="A23" s="19" t="n"/>
      <c r="B23" s="19" t="n"/>
      <c r="C23" s="21">
        <f>IF(B23="","",B23/SUM($B$7:$B$46))</f>
        <v/>
      </c>
      <c r="D23" s="26">
        <f>IF(B23="","",SUM($B$7:B23))</f>
        <v/>
      </c>
      <c r="E23" s="26">
        <f>IF(B23="","",A23*B23)</f>
        <v/>
      </c>
      <c r="F23" s="26">
        <f>IF(B23="","",A23^2*B23)</f>
        <v/>
      </c>
    </row>
    <row r="24">
      <c r="A24" s="19" t="n"/>
      <c r="B24" s="19" t="n"/>
      <c r="C24" s="21">
        <f>IF(B24="","",B24/SUM($B$7:$B$46))</f>
        <v/>
      </c>
      <c r="D24" s="26">
        <f>IF(B24="","",SUM($B$7:B24))</f>
        <v/>
      </c>
      <c r="E24" s="26">
        <f>IF(B24="","",A24*B24)</f>
        <v/>
      </c>
      <c r="F24" s="26">
        <f>IF(B24="","",A24^2*B24)</f>
        <v/>
      </c>
    </row>
    <row r="25">
      <c r="A25" s="19" t="n"/>
      <c r="B25" s="19" t="n"/>
      <c r="C25" s="21">
        <f>IF(B25="","",B25/SUM($B$7:$B$46))</f>
        <v/>
      </c>
      <c r="D25" s="26">
        <f>IF(B25="","",SUM($B$7:B25))</f>
        <v/>
      </c>
      <c r="E25" s="26">
        <f>IF(B25="","",A25*B25)</f>
        <v/>
      </c>
      <c r="F25" s="26">
        <f>IF(B25="","",A25^2*B25)</f>
        <v/>
      </c>
    </row>
    <row r="26">
      <c r="A26" s="19" t="n"/>
      <c r="B26" s="19" t="n"/>
      <c r="C26" s="21">
        <f>IF(B26="","",B26/SUM($B$7:$B$46))</f>
        <v/>
      </c>
      <c r="D26" s="26">
        <f>IF(B26="","",SUM($B$7:B26))</f>
        <v/>
      </c>
      <c r="E26" s="26">
        <f>IF(B26="","",A26*B26)</f>
        <v/>
      </c>
      <c r="F26" s="26">
        <f>IF(B26="","",A26^2*B26)</f>
        <v/>
      </c>
    </row>
    <row r="27">
      <c r="A27" s="19" t="n"/>
      <c r="B27" s="19" t="n"/>
      <c r="C27" s="21">
        <f>IF(B27="","",B27/SUM($B$7:$B$46))</f>
        <v/>
      </c>
      <c r="D27" s="26">
        <f>IF(B27="","",SUM($B$7:B27))</f>
        <v/>
      </c>
      <c r="E27" s="26">
        <f>IF(B27="","",A27*B27)</f>
        <v/>
      </c>
      <c r="F27" s="26">
        <f>IF(B27="","",A27^2*B27)</f>
        <v/>
      </c>
    </row>
    <row r="28">
      <c r="A28" s="19" t="n"/>
      <c r="B28" s="19" t="n"/>
      <c r="C28" s="21">
        <f>IF(B28="","",B28/SUM($B$7:$B$46))</f>
        <v/>
      </c>
      <c r="D28" s="26">
        <f>IF(B28="","",SUM($B$7:B28))</f>
        <v/>
      </c>
      <c r="E28" s="26">
        <f>IF(B28="","",A28*B28)</f>
        <v/>
      </c>
      <c r="F28" s="26">
        <f>IF(B28="","",A28^2*B28)</f>
        <v/>
      </c>
    </row>
    <row r="29">
      <c r="A29" s="19" t="n"/>
      <c r="B29" s="19" t="n"/>
      <c r="C29" s="21">
        <f>IF(B29="","",B29/SUM($B$7:$B$46))</f>
        <v/>
      </c>
      <c r="D29" s="26">
        <f>IF(B29="","",SUM($B$7:B29))</f>
        <v/>
      </c>
      <c r="E29" s="26">
        <f>IF(B29="","",A29*B29)</f>
        <v/>
      </c>
      <c r="F29" s="26">
        <f>IF(B29="","",A29^2*B29)</f>
        <v/>
      </c>
    </row>
    <row r="30">
      <c r="A30" s="19" t="n"/>
      <c r="B30" s="19" t="n"/>
      <c r="C30" s="21">
        <f>IF(B30="","",B30/SUM($B$7:$B$46))</f>
        <v/>
      </c>
      <c r="D30" s="26">
        <f>IF(B30="","",SUM($B$7:B30))</f>
        <v/>
      </c>
      <c r="E30" s="26">
        <f>IF(B30="","",A30*B30)</f>
        <v/>
      </c>
      <c r="F30" s="26">
        <f>IF(B30="","",A30^2*B30)</f>
        <v/>
      </c>
    </row>
    <row r="31">
      <c r="A31" s="19" t="n"/>
      <c r="B31" s="19" t="n"/>
      <c r="C31" s="21">
        <f>IF(B31="","",B31/SUM($B$7:$B$46))</f>
        <v/>
      </c>
      <c r="D31" s="26">
        <f>IF(B31="","",SUM($B$7:B31))</f>
        <v/>
      </c>
      <c r="E31" s="26">
        <f>IF(B31="","",A31*B31)</f>
        <v/>
      </c>
      <c r="F31" s="26">
        <f>IF(B31="","",A31^2*B31)</f>
        <v/>
      </c>
    </row>
    <row r="32">
      <c r="A32" s="19" t="n"/>
      <c r="B32" s="19" t="n"/>
      <c r="C32" s="21">
        <f>IF(B32="","",B32/SUM($B$7:$B$46))</f>
        <v/>
      </c>
      <c r="D32" s="26">
        <f>IF(B32="","",SUM($B$7:B32))</f>
        <v/>
      </c>
      <c r="E32" s="26">
        <f>IF(B32="","",A32*B32)</f>
        <v/>
      </c>
      <c r="F32" s="26">
        <f>IF(B32="","",A32^2*B32)</f>
        <v/>
      </c>
    </row>
    <row r="33">
      <c r="A33" s="19" t="n"/>
      <c r="B33" s="19" t="n"/>
      <c r="C33" s="21">
        <f>IF(B33="","",B33/SUM($B$7:$B$46))</f>
        <v/>
      </c>
      <c r="D33" s="26">
        <f>IF(B33="","",SUM($B$7:B33))</f>
        <v/>
      </c>
      <c r="E33" s="26">
        <f>IF(B33="","",A33*B33)</f>
        <v/>
      </c>
      <c r="F33" s="26">
        <f>IF(B33="","",A33^2*B33)</f>
        <v/>
      </c>
    </row>
    <row r="34">
      <c r="A34" s="19" t="n"/>
      <c r="B34" s="19" t="n"/>
      <c r="C34" s="21">
        <f>IF(B34="","",B34/SUM($B$7:$B$46))</f>
        <v/>
      </c>
      <c r="D34" s="26">
        <f>IF(B34="","",SUM($B$7:B34))</f>
        <v/>
      </c>
      <c r="E34" s="26">
        <f>IF(B34="","",A34*B34)</f>
        <v/>
      </c>
      <c r="F34" s="26">
        <f>IF(B34="","",A34^2*B34)</f>
        <v/>
      </c>
    </row>
    <row r="35">
      <c r="A35" s="19" t="n"/>
      <c r="B35" s="19" t="n"/>
      <c r="C35" s="21">
        <f>IF(B35="","",B35/SUM($B$7:$B$46))</f>
        <v/>
      </c>
      <c r="D35" s="26">
        <f>IF(B35="","",SUM($B$7:B35))</f>
        <v/>
      </c>
      <c r="E35" s="26">
        <f>IF(B35="","",A35*B35)</f>
        <v/>
      </c>
      <c r="F35" s="26">
        <f>IF(B35="","",A35^2*B35)</f>
        <v/>
      </c>
    </row>
    <row r="36">
      <c r="A36" s="19" t="n"/>
      <c r="B36" s="19" t="n"/>
      <c r="C36" s="21">
        <f>IF(B36="","",B36/SUM($B$7:$B$46))</f>
        <v/>
      </c>
      <c r="D36" s="26">
        <f>IF(B36="","",SUM($B$7:B36))</f>
        <v/>
      </c>
      <c r="E36" s="26">
        <f>IF(B36="","",A36*B36)</f>
        <v/>
      </c>
      <c r="F36" s="26">
        <f>IF(B36="","",A36^2*B36)</f>
        <v/>
      </c>
    </row>
    <row r="37">
      <c r="A37" s="19" t="n"/>
      <c r="B37" s="19" t="n"/>
      <c r="C37" s="21">
        <f>IF(B37="","",B37/SUM($B$7:$B$46))</f>
        <v/>
      </c>
      <c r="D37" s="26">
        <f>IF(B37="","",SUM($B$7:B37))</f>
        <v/>
      </c>
      <c r="E37" s="26">
        <f>IF(B37="","",A37*B37)</f>
        <v/>
      </c>
      <c r="F37" s="26">
        <f>IF(B37="","",A37^2*B37)</f>
        <v/>
      </c>
    </row>
    <row r="38">
      <c r="A38" s="19" t="n"/>
      <c r="B38" s="19" t="n"/>
      <c r="C38" s="21">
        <f>IF(B38="","",B38/SUM($B$7:$B$46))</f>
        <v/>
      </c>
      <c r="D38" s="26">
        <f>IF(B38="","",SUM($B$7:B38))</f>
        <v/>
      </c>
      <c r="E38" s="26">
        <f>IF(B38="","",A38*B38)</f>
        <v/>
      </c>
      <c r="F38" s="26">
        <f>IF(B38="","",A38^2*B38)</f>
        <v/>
      </c>
    </row>
    <row r="39">
      <c r="A39" s="19" t="n"/>
      <c r="B39" s="19" t="n"/>
      <c r="C39" s="21">
        <f>IF(B39="","",B39/SUM($B$7:$B$46))</f>
        <v/>
      </c>
      <c r="D39" s="26">
        <f>IF(B39="","",SUM($B$7:B39))</f>
        <v/>
      </c>
      <c r="E39" s="26">
        <f>IF(B39="","",A39*B39)</f>
        <v/>
      </c>
      <c r="F39" s="26">
        <f>IF(B39="","",A39^2*B39)</f>
        <v/>
      </c>
    </row>
    <row r="40">
      <c r="A40" s="19" t="n"/>
      <c r="B40" s="19" t="n"/>
      <c r="C40" s="21">
        <f>IF(B40="","",B40/SUM($B$7:$B$46))</f>
        <v/>
      </c>
      <c r="D40" s="26">
        <f>IF(B40="","",SUM($B$7:B40))</f>
        <v/>
      </c>
      <c r="E40" s="26">
        <f>IF(B40="","",A40*B40)</f>
        <v/>
      </c>
      <c r="F40" s="26">
        <f>IF(B40="","",A40^2*B40)</f>
        <v/>
      </c>
    </row>
    <row r="41">
      <c r="A41" s="19" t="n"/>
      <c r="B41" s="19" t="n"/>
      <c r="C41" s="21">
        <f>IF(B41="","",B41/SUM($B$7:$B$46))</f>
        <v/>
      </c>
      <c r="D41" s="26">
        <f>IF(B41="","",SUM($B$7:B41))</f>
        <v/>
      </c>
      <c r="E41" s="26">
        <f>IF(B41="","",A41*B41)</f>
        <v/>
      </c>
      <c r="F41" s="26">
        <f>IF(B41="","",A41^2*B41)</f>
        <v/>
      </c>
    </row>
    <row r="42">
      <c r="A42" s="19" t="n"/>
      <c r="B42" s="19" t="n"/>
      <c r="C42" s="21">
        <f>IF(B42="","",B42/SUM($B$7:$B$46))</f>
        <v/>
      </c>
      <c r="D42" s="26">
        <f>IF(B42="","",SUM($B$7:B42))</f>
        <v/>
      </c>
      <c r="E42" s="26">
        <f>IF(B42="","",A42*B42)</f>
        <v/>
      </c>
      <c r="F42" s="26">
        <f>IF(B42="","",A42^2*B42)</f>
        <v/>
      </c>
    </row>
    <row r="43">
      <c r="A43" s="19" t="n"/>
      <c r="B43" s="19" t="n"/>
      <c r="C43" s="21">
        <f>IF(B43="","",B43/SUM($B$7:$B$46))</f>
        <v/>
      </c>
      <c r="D43" s="26">
        <f>IF(B43="","",SUM($B$7:B43))</f>
        <v/>
      </c>
      <c r="E43" s="26">
        <f>IF(B43="","",A43*B43)</f>
        <v/>
      </c>
      <c r="F43" s="26">
        <f>IF(B43="","",A43^2*B43)</f>
        <v/>
      </c>
    </row>
    <row r="44">
      <c r="A44" s="19" t="n"/>
      <c r="B44" s="19" t="n"/>
      <c r="C44" s="21">
        <f>IF(B44="","",B44/SUM($B$7:$B$46))</f>
        <v/>
      </c>
      <c r="D44" s="26">
        <f>IF(B44="","",SUM($B$7:B44))</f>
        <v/>
      </c>
      <c r="E44" s="26">
        <f>IF(B44="","",A44*B44)</f>
        <v/>
      </c>
      <c r="F44" s="26">
        <f>IF(B44="","",A44^2*B44)</f>
        <v/>
      </c>
    </row>
    <row r="45">
      <c r="A45" s="19" t="n"/>
      <c r="B45" s="19" t="n"/>
      <c r="C45" s="21">
        <f>IF(B45="","",B45/SUM($B$7:$B$46))</f>
        <v/>
      </c>
      <c r="D45" s="26">
        <f>IF(B45="","",SUM($B$7:B45))</f>
        <v/>
      </c>
      <c r="E45" s="26">
        <f>IF(B45="","",A45*B45)</f>
        <v/>
      </c>
      <c r="F45" s="26">
        <f>IF(B45="","",A45^2*B45)</f>
        <v/>
      </c>
    </row>
    <row r="46">
      <c r="A46" s="19" t="n"/>
      <c r="B46" s="19" t="n"/>
      <c r="C46" s="21">
        <f>IF(B46="","",B46/SUM($B$7:$B$46))</f>
        <v/>
      </c>
      <c r="D46" s="26">
        <f>IF(B46="","",SUM($B$7:B46))</f>
        <v/>
      </c>
      <c r="E46" s="26">
        <f>IF(B46="","",A46*B46)</f>
        <v/>
      </c>
      <c r="F46" s="26">
        <f>IF(B46="","",A46^2*B46)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FD0"/>
    <outlinePr summaryBelow="1" summaryRight="1"/>
    <pageSetUpPr/>
  </sheetPr>
  <dimension ref="A1:M21"/>
  <sheetViews>
    <sheetView zoomScale="115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0" customWidth="1" min="9" max="9"/>
    <col width="10" customWidth="1" min="10" max="10"/>
    <col width="3" customWidth="1" min="11" max="11"/>
    <col width="40" customWidth="1" min="12" max="12"/>
    <col width="16" customWidth="1" min="13" max="13"/>
  </cols>
  <sheetData>
    <row r="1" ht="30" customHeight="1">
      <c r="A1" s="12" t="inlineStr">
        <is>
          <t>C · Datos agrupados en intervalos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7" t="inlineStr">
        <is>
          <t>Escribe el extremo inferior, el superior y la frecuencia de cada intervalo (en orden).</t>
        </is>
      </c>
    </row>
    <row r="3">
      <c r="A3" s="14" t="inlineStr">
        <is>
          <t>Sirve con amplitudes iguales o distintas: la moda usa densidades. Si te dan %, escríbelos como frecuencias (la media sale igual).</t>
        </is>
      </c>
    </row>
    <row r="4">
      <c r="A4" s="15" t="inlineStr">
        <is>
          <t>Amarillo: escribe o pega aquí tus datos.  Verde: resultados (no los toques).</t>
        </is>
      </c>
    </row>
    <row r="5">
      <c r="L5" s="16" t="inlineStr">
        <is>
          <t>Percentil que quieres (tanto por uno) →</t>
        </is>
      </c>
      <c r="M5" s="17" t="n">
        <v>0.9</v>
      </c>
    </row>
    <row r="6">
      <c r="A6" s="3" t="inlineStr">
        <is>
          <t>L inf</t>
        </is>
      </c>
      <c r="B6" s="3" t="inlineStr">
        <is>
          <t>L sup</t>
        </is>
      </c>
      <c r="C6" s="3" t="inlineStr">
        <is>
          <t>nᵢ</t>
        </is>
      </c>
      <c r="D6" s="3" t="inlineStr">
        <is>
          <t>Marca xᵢ</t>
        </is>
      </c>
      <c r="E6" s="3" t="inlineStr">
        <is>
          <t>Amplitud</t>
        </is>
      </c>
      <c r="F6" s="3" t="inlineStr">
        <is>
          <t>Densidad</t>
        </is>
      </c>
      <c r="G6" s="3" t="inlineStr">
        <is>
          <t>xᵢ·nᵢ</t>
        </is>
      </c>
      <c r="H6" s="3" t="inlineStr">
        <is>
          <t>xᵢ²·nᵢ</t>
        </is>
      </c>
      <c r="I6" s="3" t="inlineStr">
        <is>
          <t>Nᵢ</t>
        </is>
      </c>
      <c r="J6" s="3" t="inlineStr">
        <is>
          <t>fᵢ</t>
        </is>
      </c>
    </row>
    <row r="7">
      <c r="A7" s="19" t="n"/>
      <c r="B7" s="19" t="n"/>
      <c r="C7" s="19" t="n"/>
      <c r="D7" s="26">
        <f>IF(C7="","",(A7+B7)/2)</f>
        <v/>
      </c>
      <c r="E7" s="26">
        <f>IF(C7="","",B7-A7)</f>
        <v/>
      </c>
      <c r="F7" s="26">
        <f>IF(C7="","",C7/E7)</f>
        <v/>
      </c>
      <c r="G7" s="26">
        <f>IF(C7="","",D7*C7)</f>
        <v/>
      </c>
      <c r="H7" s="26">
        <f>IF(C7="","",D7^2*C7)</f>
        <v/>
      </c>
      <c r="I7" s="26">
        <f>IF(C7="","",SUM($C$7:C7))</f>
        <v/>
      </c>
      <c r="J7" s="26">
        <f>IF(C7="","",C7/SUM($C$7:$C$21))</f>
        <v/>
      </c>
      <c r="L7" s="18" t="inlineStr">
        <is>
          <t>n</t>
        </is>
      </c>
      <c r="M7" s="27">
        <f>IFERROR(SUM($C$7:$C$21),"")</f>
        <v/>
      </c>
    </row>
    <row r="8">
      <c r="A8" s="19" t="n"/>
      <c r="B8" s="19" t="n"/>
      <c r="C8" s="19" t="n"/>
      <c r="D8" s="26">
        <f>IF(C8="","",(A8+B8)/2)</f>
        <v/>
      </c>
      <c r="E8" s="26">
        <f>IF(C8="","",B8-A8)</f>
        <v/>
      </c>
      <c r="F8" s="26">
        <f>IF(C8="","",C8/E8)</f>
        <v/>
      </c>
      <c r="G8" s="26">
        <f>IF(C8="","",D8*C8)</f>
        <v/>
      </c>
      <c r="H8" s="26">
        <f>IF(C8="","",D8^2*C8)</f>
        <v/>
      </c>
      <c r="I8" s="26">
        <f>IF(C8="","",SUM($C$7:C8))</f>
        <v/>
      </c>
      <c r="J8" s="26">
        <f>IF(C8="","",C8/SUM($C$7:$C$21))</f>
        <v/>
      </c>
      <c r="L8" s="18" t="inlineStr">
        <is>
          <t>Media</t>
        </is>
      </c>
      <c r="M8" s="24">
        <f>IFERROR(SUM(G7:G21)/SUM($C$7:$C$21),"")</f>
        <v/>
      </c>
    </row>
    <row r="9">
      <c r="A9" s="19" t="n"/>
      <c r="B9" s="19" t="n"/>
      <c r="C9" s="19" t="n"/>
      <c r="D9" s="26">
        <f>IF(C9="","",(A9+B9)/2)</f>
        <v/>
      </c>
      <c r="E9" s="26">
        <f>IF(C9="","",B9-A9)</f>
        <v/>
      </c>
      <c r="F9" s="26">
        <f>IF(C9="","",C9/E9)</f>
        <v/>
      </c>
      <c r="G9" s="26">
        <f>IF(C9="","",D9*C9)</f>
        <v/>
      </c>
      <c r="H9" s="26">
        <f>IF(C9="","",D9^2*C9)</f>
        <v/>
      </c>
      <c r="I9" s="26">
        <f>IF(C9="","",SUM($C$7:C9))</f>
        <v/>
      </c>
      <c r="J9" s="26">
        <f>IF(C9="","",C9/SUM($C$7:$C$21))</f>
        <v/>
      </c>
      <c r="L9" s="18" t="inlineStr">
        <is>
          <t>Varianza S²</t>
        </is>
      </c>
      <c r="M9" s="24">
        <f>IFERROR(SUM(H7:H21)/SUM($C$7:$C$21)-M8^2,"")</f>
        <v/>
      </c>
    </row>
    <row r="10">
      <c r="A10" s="19" t="n"/>
      <c r="B10" s="19" t="n"/>
      <c r="C10" s="19" t="n"/>
      <c r="D10" s="26">
        <f>IF(C10="","",(A10+B10)/2)</f>
        <v/>
      </c>
      <c r="E10" s="26">
        <f>IF(C10="","",B10-A10)</f>
        <v/>
      </c>
      <c r="F10" s="26">
        <f>IF(C10="","",C10/E10)</f>
        <v/>
      </c>
      <c r="G10" s="26">
        <f>IF(C10="","",D10*C10)</f>
        <v/>
      </c>
      <c r="H10" s="26">
        <f>IF(C10="","",D10^2*C10)</f>
        <v/>
      </c>
      <c r="I10" s="26">
        <f>IF(C10="","",SUM($C$7:C10))</f>
        <v/>
      </c>
      <c r="J10" s="26">
        <f>IF(C10="","",C10/SUM($C$7:$C$21))</f>
        <v/>
      </c>
      <c r="L10" s="18" t="inlineStr">
        <is>
          <t>Desviación típica S</t>
        </is>
      </c>
      <c r="M10" s="24">
        <f>IFERROR(SQRT(M9),"")</f>
        <v/>
      </c>
    </row>
    <row r="11">
      <c r="A11" s="19" t="n"/>
      <c r="B11" s="19" t="n"/>
      <c r="C11" s="19" t="n"/>
      <c r="D11" s="26">
        <f>IF(C11="","",(A11+B11)/2)</f>
        <v/>
      </c>
      <c r="E11" s="26">
        <f>IF(C11="","",B11-A11)</f>
        <v/>
      </c>
      <c r="F11" s="26">
        <f>IF(C11="","",C11/E11)</f>
        <v/>
      </c>
      <c r="G11" s="26">
        <f>IF(C11="","",D11*C11)</f>
        <v/>
      </c>
      <c r="H11" s="26">
        <f>IF(C11="","",D11^2*C11)</f>
        <v/>
      </c>
      <c r="I11" s="26">
        <f>IF(C11="","",SUM($C$7:C11))</f>
        <v/>
      </c>
      <c r="J11" s="26">
        <f>IF(C11="","",C11/SUM($C$7:$C$21))</f>
        <v/>
      </c>
      <c r="L11" s="18" t="inlineStr">
        <is>
          <t>Cuasivarianza s²</t>
        </is>
      </c>
      <c r="M11" s="24">
        <f>IFERROR(M9*SUM($C$7:$C$21)/(SUM($C$7:$C$21)-1),"")</f>
        <v/>
      </c>
    </row>
    <row r="12">
      <c r="A12" s="19" t="n"/>
      <c r="B12" s="19" t="n"/>
      <c r="C12" s="19" t="n"/>
      <c r="D12" s="26">
        <f>IF(C12="","",(A12+B12)/2)</f>
        <v/>
      </c>
      <c r="E12" s="26">
        <f>IF(C12="","",B12-A12)</f>
        <v/>
      </c>
      <c r="F12" s="26">
        <f>IF(C12="","",C12/E12)</f>
        <v/>
      </c>
      <c r="G12" s="26">
        <f>IF(C12="","",D12*C12)</f>
        <v/>
      </c>
      <c r="H12" s="26">
        <f>IF(C12="","",D12^2*C12)</f>
        <v/>
      </c>
      <c r="I12" s="26">
        <f>IF(C12="","",SUM($C$7:C12))</f>
        <v/>
      </c>
      <c r="J12" s="26">
        <f>IF(C12="","",C12/SUM($C$7:$C$21))</f>
        <v/>
      </c>
      <c r="L12" s="18" t="inlineStr">
        <is>
          <t>Coeficiente de variación</t>
        </is>
      </c>
      <c r="M12" s="24">
        <f>IFERROR(M10/M8,"")</f>
        <v/>
      </c>
    </row>
    <row r="13">
      <c r="A13" s="19" t="n"/>
      <c r="B13" s="19" t="n"/>
      <c r="C13" s="19" t="n"/>
      <c r="D13" s="26">
        <f>IF(C13="","",(A13+B13)/2)</f>
        <v/>
      </c>
      <c r="E13" s="26">
        <f>IF(C13="","",B13-A13)</f>
        <v/>
      </c>
      <c r="F13" s="26">
        <f>IF(C13="","",C13/E13)</f>
        <v/>
      </c>
      <c r="G13" s="26">
        <f>IF(C13="","",D13*C13)</f>
        <v/>
      </c>
      <c r="H13" s="26">
        <f>IF(C13="","",D13^2*C13)</f>
        <v/>
      </c>
      <c r="I13" s="26">
        <f>IF(C13="","",SUM($C$7:C13))</f>
        <v/>
      </c>
      <c r="J13" s="26">
        <f>IF(C13="","",C13/SUM($C$7:$C$21))</f>
        <v/>
      </c>
      <c r="L13" s="18" t="inlineStr">
        <is>
          <t>Intervalo modal (fila de la tabla)</t>
        </is>
      </c>
      <c r="M13" s="27">
        <f>IFERROR(MATCH(MAX($F$7:$F$21),$F$7:$F$21,0),"")</f>
        <v/>
      </c>
    </row>
    <row r="14">
      <c r="A14" s="19" t="n"/>
      <c r="B14" s="19" t="n"/>
      <c r="C14" s="19" t="n"/>
      <c r="D14" s="26">
        <f>IF(C14="","",(A14+B14)/2)</f>
        <v/>
      </c>
      <c r="E14" s="26">
        <f>IF(C14="","",B14-A14)</f>
        <v/>
      </c>
      <c r="F14" s="26">
        <f>IF(C14="","",C14/E14)</f>
        <v/>
      </c>
      <c r="G14" s="26">
        <f>IF(C14="","",D14*C14)</f>
        <v/>
      </c>
      <c r="H14" s="26">
        <f>IF(C14="","",D14^2*C14)</f>
        <v/>
      </c>
      <c r="I14" s="26">
        <f>IF(C14="","",SUM($C$7:C14))</f>
        <v/>
      </c>
      <c r="J14" s="26">
        <f>IF(C14="","",C14/SUM($C$7:$C$21))</f>
        <v/>
      </c>
      <c r="L14" s="18" t="inlineStr">
        <is>
          <t>Moda</t>
        </is>
      </c>
      <c r="M14" s="24">
        <f>IFERROR(INDEX($A$7:$A$21,MATCH(MAX($F$7:$F$21),$F$7:$F$21,0))+(INDEX($F$7:$F$21,MATCH(MAX($F$7:$F$21),$F$7:$F$21,0))-IF(MATCH(MAX($F$7:$F$21),$F$7:$F$21,0)=1,0,INDEX($F$7:$F$21,MATCH(MAX($F$7:$F$21),$F$7:$F$21,0)-1)))/((INDEX($F$7:$F$21,MATCH(MAX($F$7:$F$21),$F$7:$F$21,0))-IF(MATCH(MAX($F$7:$F$21),$F$7:$F$21,0)=1,0,INDEX($F$7:$F$21,MATCH(MAX($F$7:$F$21),$F$7:$F$21,0)-1)))+(INDEX($F$7:$F$21,MATCH(MAX($F$7:$F$21),$F$7:$F$21,0))-IF(MATCH(MAX($F$7:$F$21),$F$7:$F$21,0)=COUNT($C$7:$C$21),0,INDEX($F$7:$F$21,MATCH(MAX($F$7:$F$21),$F$7:$F$21,0)+1))))*INDEX($E$7:$E$21,MATCH(MAX($F$7:$F$21),$F$7:$F$21,0)),"")</f>
        <v/>
      </c>
    </row>
    <row r="15">
      <c r="A15" s="19" t="n"/>
      <c r="B15" s="19" t="n"/>
      <c r="C15" s="19" t="n"/>
      <c r="D15" s="26">
        <f>IF(C15="","",(A15+B15)/2)</f>
        <v/>
      </c>
      <c r="E15" s="26">
        <f>IF(C15="","",B15-A15)</f>
        <v/>
      </c>
      <c r="F15" s="26">
        <f>IF(C15="","",C15/E15)</f>
        <v/>
      </c>
      <c r="G15" s="26">
        <f>IF(C15="","",D15*C15)</f>
        <v/>
      </c>
      <c r="H15" s="26">
        <f>IF(C15="","",D15^2*C15)</f>
        <v/>
      </c>
      <c r="I15" s="26">
        <f>IF(C15="","",SUM($C$7:C15))</f>
        <v/>
      </c>
      <c r="J15" s="26">
        <f>IF(C15="","",C15/SUM($C$7:$C$21))</f>
        <v/>
      </c>
      <c r="L15" s="18" t="inlineStr">
        <is>
          <t>Mediana</t>
        </is>
      </c>
      <c r="M15" s="24">
        <f>IFERROR(INDEX($A$7:$A$21,(COUNTIF($I$7:$I$21,"&lt;"&amp;0.5*SUM($C$7:$C$21)-1E-9)+1))+(0.5*SUM($C$7:$C$21)-IF((COUNTIF($I$7:$I$21,"&lt;"&amp;0.5*SUM($C$7:$C$21)-1E-9)+1)=1,0,INDEX($I$7:$I$21,(COUNTIF($I$7:$I$21,"&lt;"&amp;0.5*SUM($C$7:$C$21)-1E-9)+1)-1)))/INDEX($C$7:$C$21,(COUNTIF($I$7:$I$21,"&lt;"&amp;0.5*SUM($C$7:$C$21)-1E-9)+1))*INDEX($E$7:$E$21,(COUNTIF($I$7:$I$21,"&lt;"&amp;0.5*SUM($C$7:$C$21)-1E-9)+1)),"")</f>
        <v/>
      </c>
    </row>
    <row r="16">
      <c r="A16" s="19" t="n"/>
      <c r="B16" s="19" t="n"/>
      <c r="C16" s="19" t="n"/>
      <c r="D16" s="26">
        <f>IF(C16="","",(A16+B16)/2)</f>
        <v/>
      </c>
      <c r="E16" s="26">
        <f>IF(C16="","",B16-A16)</f>
        <v/>
      </c>
      <c r="F16" s="26">
        <f>IF(C16="","",C16/E16)</f>
        <v/>
      </c>
      <c r="G16" s="26">
        <f>IF(C16="","",D16*C16)</f>
        <v/>
      </c>
      <c r="H16" s="26">
        <f>IF(C16="","",D16^2*C16)</f>
        <v/>
      </c>
      <c r="I16" s="26">
        <f>IF(C16="","",SUM($C$7:C16))</f>
        <v/>
      </c>
      <c r="J16" s="26">
        <f>IF(C16="","",C16/SUM($C$7:$C$21))</f>
        <v/>
      </c>
      <c r="L16" s="18" t="inlineStr">
        <is>
          <t>C₁</t>
        </is>
      </c>
      <c r="M16" s="24">
        <f>IFERROR(INDEX($A$7:$A$21,(COUNTIF($I$7:$I$21,"&lt;"&amp;0.25*SUM($C$7:$C$21)-1E-9)+1))+(0.25*SUM($C$7:$C$21)-IF((COUNTIF($I$7:$I$21,"&lt;"&amp;0.25*SUM($C$7:$C$21)-1E-9)+1)=1,0,INDEX($I$7:$I$21,(COUNTIF($I$7:$I$21,"&lt;"&amp;0.25*SUM($C$7:$C$21)-1E-9)+1)-1)))/INDEX($C$7:$C$21,(COUNTIF($I$7:$I$21,"&lt;"&amp;0.25*SUM($C$7:$C$21)-1E-9)+1))*INDEX($E$7:$E$21,(COUNTIF($I$7:$I$21,"&lt;"&amp;0.25*SUM($C$7:$C$21)-1E-9)+1)),"")</f>
        <v/>
      </c>
    </row>
    <row r="17">
      <c r="A17" s="19" t="n"/>
      <c r="B17" s="19" t="n"/>
      <c r="C17" s="19" t="n"/>
      <c r="D17" s="26">
        <f>IF(C17="","",(A17+B17)/2)</f>
        <v/>
      </c>
      <c r="E17" s="26">
        <f>IF(C17="","",B17-A17)</f>
        <v/>
      </c>
      <c r="F17" s="26">
        <f>IF(C17="","",C17/E17)</f>
        <v/>
      </c>
      <c r="G17" s="26">
        <f>IF(C17="","",D17*C17)</f>
        <v/>
      </c>
      <c r="H17" s="26">
        <f>IF(C17="","",D17^2*C17)</f>
        <v/>
      </c>
      <c r="I17" s="26">
        <f>IF(C17="","",SUM($C$7:C17))</f>
        <v/>
      </c>
      <c r="J17" s="26">
        <f>IF(C17="","",C17/SUM($C$7:$C$21))</f>
        <v/>
      </c>
      <c r="L17" s="18" t="inlineStr">
        <is>
          <t>C₃</t>
        </is>
      </c>
      <c r="M17" s="24">
        <f>IFERROR(INDEX($A$7:$A$21,(COUNTIF($I$7:$I$21,"&lt;"&amp;0.75*SUM($C$7:$C$21)-1E-9)+1))+(0.75*SUM($C$7:$C$21)-IF((COUNTIF($I$7:$I$21,"&lt;"&amp;0.75*SUM($C$7:$C$21)-1E-9)+1)=1,0,INDEX($I$7:$I$21,(COUNTIF($I$7:$I$21,"&lt;"&amp;0.75*SUM($C$7:$C$21)-1E-9)+1)-1)))/INDEX($C$7:$C$21,(COUNTIF($I$7:$I$21,"&lt;"&amp;0.75*SUM($C$7:$C$21)-1E-9)+1))*INDEX($E$7:$E$21,(COUNTIF($I$7:$I$21,"&lt;"&amp;0.75*SUM($C$7:$C$21)-1E-9)+1)),"")</f>
        <v/>
      </c>
    </row>
    <row r="18">
      <c r="A18" s="19" t="n"/>
      <c r="B18" s="19" t="n"/>
      <c r="C18" s="19" t="n"/>
      <c r="D18" s="26">
        <f>IF(C18="","",(A18+B18)/2)</f>
        <v/>
      </c>
      <c r="E18" s="26">
        <f>IF(C18="","",B18-A18)</f>
        <v/>
      </c>
      <c r="F18" s="26">
        <f>IF(C18="","",C18/E18)</f>
        <v/>
      </c>
      <c r="G18" s="26">
        <f>IF(C18="","",D18*C18)</f>
        <v/>
      </c>
      <c r="H18" s="26">
        <f>IF(C18="","",D18^2*C18)</f>
        <v/>
      </c>
      <c r="I18" s="26">
        <f>IF(C18="","",SUM($C$7:C18))</f>
        <v/>
      </c>
      <c r="J18" s="26">
        <f>IF(C18="","",C18/SUM($C$7:$C$21))</f>
        <v/>
      </c>
      <c r="L18" s="18" t="inlineStr">
        <is>
          <t>IQR</t>
        </is>
      </c>
      <c r="M18" s="24">
        <f>IFERROR(M17-M16,"")</f>
        <v/>
      </c>
    </row>
    <row r="19">
      <c r="A19" s="19" t="n"/>
      <c r="B19" s="19" t="n"/>
      <c r="C19" s="19" t="n"/>
      <c r="D19" s="26">
        <f>IF(C19="","",(A19+B19)/2)</f>
        <v/>
      </c>
      <c r="E19" s="26">
        <f>IF(C19="","",B19-A19)</f>
        <v/>
      </c>
      <c r="F19" s="26">
        <f>IF(C19="","",C19/E19)</f>
        <v/>
      </c>
      <c r="G19" s="26">
        <f>IF(C19="","",D19*C19)</f>
        <v/>
      </c>
      <c r="H19" s="26">
        <f>IF(C19="","",D19^2*C19)</f>
        <v/>
      </c>
      <c r="I19" s="26">
        <f>IF(C19="","",SUM($C$7:C19))</f>
        <v/>
      </c>
      <c r="J19" s="26">
        <f>IF(C19="","",C19/SUM($C$7:$C$21))</f>
        <v/>
      </c>
      <c r="L19" s="18" t="inlineStr">
        <is>
          <t>Percentil elegido (M5)</t>
        </is>
      </c>
      <c r="M19" s="24">
        <f>IFERROR(INDEX($A$7:$A$21,(COUNTIF($I$7:$I$21,"&lt;"&amp;M5*SUM($C$7:$C$21)-1E-9)+1))+(M5*SUM($C$7:$C$21)-IF((COUNTIF($I$7:$I$21,"&lt;"&amp;M5*SUM($C$7:$C$21)-1E-9)+1)=1,0,INDEX($I$7:$I$21,(COUNTIF($I$7:$I$21,"&lt;"&amp;M5*SUM($C$7:$C$21)-1E-9)+1)-1)))/INDEX($C$7:$C$21,(COUNTIF($I$7:$I$21,"&lt;"&amp;M5*SUM($C$7:$C$21)-1E-9)+1))*INDEX($E$7:$E$21,(COUNTIF($I$7:$I$21,"&lt;"&amp;M5*SUM($C$7:$C$21)-1E-9)+1)),"")</f>
        <v/>
      </c>
    </row>
    <row r="20">
      <c r="A20" s="19" t="n"/>
      <c r="B20" s="19" t="n"/>
      <c r="C20" s="19" t="n"/>
      <c r="D20" s="26">
        <f>IF(C20="","",(A20+B20)/2)</f>
        <v/>
      </c>
      <c r="E20" s="26">
        <f>IF(C20="","",B20-A20)</f>
        <v/>
      </c>
      <c r="F20" s="26">
        <f>IF(C20="","",C20/E20)</f>
        <v/>
      </c>
      <c r="G20" s="26">
        <f>IF(C20="","",D20*C20)</f>
        <v/>
      </c>
      <c r="H20" s="26">
        <f>IF(C20="","",D20^2*C20)</f>
        <v/>
      </c>
      <c r="I20" s="26">
        <f>IF(C20="","",SUM($C$7:C20))</f>
        <v/>
      </c>
      <c r="J20" s="26">
        <f>IF(C20="","",C20/SUM($C$7:$C$21))</f>
        <v/>
      </c>
    </row>
    <row r="21">
      <c r="A21" s="19" t="n"/>
      <c r="B21" s="19" t="n"/>
      <c r="C21" s="19" t="n"/>
      <c r="D21" s="26">
        <f>IF(C21="","",(A21+B21)/2)</f>
        <v/>
      </c>
      <c r="E21" s="26">
        <f>IF(C21="","",B21-A21)</f>
        <v/>
      </c>
      <c r="F21" s="26">
        <f>IF(C21="","",C21/E21)</f>
        <v/>
      </c>
      <c r="G21" s="26">
        <f>IF(C21="","",D21*C21)</f>
        <v/>
      </c>
      <c r="H21" s="26">
        <f>IF(C21="","",D21^2*C21)</f>
        <v/>
      </c>
      <c r="I21" s="26">
        <f>IF(C21="","",SUM($C$7:C21))</f>
        <v/>
      </c>
      <c r="J21" s="26">
        <f>IF(C21="","",C21/SUM($C$7:$C$21))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FD0"/>
    <outlinePr summaryBelow="1" summaryRight="1"/>
    <pageSetUpPr/>
  </sheetPr>
  <dimension ref="A1:K14"/>
  <sheetViews>
    <sheetView zoomScale="115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0" customWidth="1" min="8" max="8"/>
    <col width="3" customWidth="1" min="9" max="9"/>
    <col width="40" customWidth="1" min="10" max="10"/>
    <col width="16" customWidth="1" min="11" max="11"/>
  </cols>
  <sheetData>
    <row r="1" ht="30" customHeight="1">
      <c r="A1" s="12" t="inlineStr">
        <is>
          <t>D · Grupos: media global y varianza dentro / entre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7" t="inlineStr">
        <is>
          <t>Para cada grupo: tamaño, media y desviación típica O varianza (rellena una de las dos).</t>
        </is>
      </c>
    </row>
    <row r="3">
      <c r="A3" s="14" t="inlineStr">
        <is>
          <t>Si te dan la desviación típica, déjala en la columna D y la varianza se calcula sola.</t>
        </is>
      </c>
    </row>
    <row r="4">
      <c r="A4" s="15" t="inlineStr">
        <is>
          <t>Amarillo: escribe o pega aquí tus datos.  Verde: resultados (no los toques).</t>
        </is>
      </c>
    </row>
    <row r="5"/>
    <row r="6">
      <c r="A6" s="3" t="inlineStr">
        <is>
          <t>Grupo</t>
        </is>
      </c>
      <c r="B6" s="3" t="inlineStr">
        <is>
          <t>Tamaño T</t>
        </is>
      </c>
      <c r="C6" s="3" t="inlineStr">
        <is>
          <t>Media</t>
        </is>
      </c>
      <c r="D6" s="3" t="inlineStr">
        <is>
          <t>Desv. típica</t>
        </is>
      </c>
      <c r="E6" s="3" t="inlineStr">
        <is>
          <t>Varianza (si te la dan)</t>
        </is>
      </c>
      <c r="F6" s="3" t="inlineStr">
        <is>
          <t>Varianza usada</t>
        </is>
      </c>
      <c r="G6" s="3" t="inlineStr">
        <is>
          <t>(media−global)²·T</t>
        </is>
      </c>
      <c r="H6" s="3" t="inlineStr">
        <is>
          <t>CV</t>
        </is>
      </c>
    </row>
    <row r="7">
      <c r="A7" s="19" t="n"/>
      <c r="B7" s="19" t="n"/>
      <c r="C7" s="19" t="n"/>
      <c r="D7" s="19" t="n"/>
      <c r="E7" s="19" t="n"/>
      <c r="F7" s="21">
        <f>IF(B7="","",IF(E7&lt;&gt;"",E7,D7^2))</f>
        <v/>
      </c>
      <c r="G7" s="21">
        <f>IF(B7="","",(C7-$K$7)^2*B7)</f>
        <v/>
      </c>
      <c r="H7" s="21">
        <f>IF(B7="","",SQRT(F7)/C7)</f>
        <v/>
      </c>
      <c r="J7" s="18" t="inlineStr">
        <is>
          <t>Media global</t>
        </is>
      </c>
      <c r="K7" s="24">
        <f>IFERROR(SUMPRODUCT(B7:B14,C7:C14)/SUM(B7:B14),"")</f>
        <v/>
      </c>
    </row>
    <row r="8">
      <c r="A8" s="19" t="n"/>
      <c r="B8" s="19" t="n"/>
      <c r="C8" s="19" t="n"/>
      <c r="D8" s="19" t="n"/>
      <c r="E8" s="19" t="n"/>
      <c r="F8" s="21">
        <f>IF(B8="","",IF(E8&lt;&gt;"",E8,D8^2))</f>
        <v/>
      </c>
      <c r="G8" s="21">
        <f>IF(B8="","",(C8-$K$7)^2*B8)</f>
        <v/>
      </c>
      <c r="H8" s="21">
        <f>IF(B8="","",SQRT(F8)/C8)</f>
        <v/>
      </c>
      <c r="J8" s="18" t="inlineStr">
        <is>
          <t>Varianza dentro</t>
        </is>
      </c>
      <c r="K8" s="24">
        <f>IFERROR(SUMPRODUCT(B7:B14,F7:F14)/SUM(B7:B14),"")</f>
        <v/>
      </c>
    </row>
    <row r="9">
      <c r="A9" s="19" t="n"/>
      <c r="B9" s="19" t="n"/>
      <c r="C9" s="19" t="n"/>
      <c r="D9" s="19" t="n"/>
      <c r="E9" s="19" t="n"/>
      <c r="F9" s="21">
        <f>IF(B9="","",IF(E9&lt;&gt;"",E9,D9^2))</f>
        <v/>
      </c>
      <c r="G9" s="21">
        <f>IF(B9="","",(C9-$K$7)^2*B9)</f>
        <v/>
      </c>
      <c r="H9" s="21">
        <f>IF(B9="","",SQRT(F9)/C9)</f>
        <v/>
      </c>
      <c r="J9" s="18" t="inlineStr">
        <is>
          <t>Varianza entre</t>
        </is>
      </c>
      <c r="K9" s="24">
        <f>IFERROR(SUM(G7:G14)/SUM(B7:B14),"")</f>
        <v/>
      </c>
    </row>
    <row r="10">
      <c r="A10" s="19" t="n"/>
      <c r="B10" s="19" t="n"/>
      <c r="C10" s="19" t="n"/>
      <c r="D10" s="19" t="n"/>
      <c r="E10" s="19" t="n"/>
      <c r="F10" s="21">
        <f>IF(B10="","",IF(E10&lt;&gt;"",E10,D10^2))</f>
        <v/>
      </c>
      <c r="G10" s="21">
        <f>IF(B10="","",(C10-$K$7)^2*B10)</f>
        <v/>
      </c>
      <c r="H10" s="21">
        <f>IF(B10="","",SQRT(F10)/C10)</f>
        <v/>
      </c>
      <c r="J10" s="18" t="inlineStr">
        <is>
          <t>Varianza total</t>
        </is>
      </c>
      <c r="K10" s="24">
        <f>IFERROR(K8+K9,"")</f>
        <v/>
      </c>
    </row>
    <row r="11">
      <c r="A11" s="19" t="n"/>
      <c r="B11" s="19" t="n"/>
      <c r="C11" s="19" t="n"/>
      <c r="D11" s="19" t="n"/>
      <c r="E11" s="19" t="n"/>
      <c r="F11" s="21">
        <f>IF(B11="","",IF(E11&lt;&gt;"",E11,D11^2))</f>
        <v/>
      </c>
      <c r="G11" s="21">
        <f>IF(B11="","",(C11-$K$7)^2*B11)</f>
        <v/>
      </c>
      <c r="H11" s="21">
        <f>IF(B11="","",SQRT(F11)/C11)</f>
        <v/>
      </c>
      <c r="J11" s="18" t="inlineStr">
        <is>
          <t>Desviación típica total</t>
        </is>
      </c>
      <c r="K11" s="24">
        <f>IFERROR(SQRT(K10),"")</f>
        <v/>
      </c>
    </row>
    <row r="12">
      <c r="A12" s="19" t="n"/>
      <c r="B12" s="19" t="n"/>
      <c r="C12" s="19" t="n"/>
      <c r="D12" s="19" t="n"/>
      <c r="E12" s="19" t="n"/>
      <c r="F12" s="21">
        <f>IF(B12="","",IF(E12&lt;&gt;"",E12,D12^2))</f>
        <v/>
      </c>
      <c r="G12" s="21">
        <f>IF(B12="","",(C12-$K$7)^2*B12)</f>
        <v/>
      </c>
      <c r="H12" s="21">
        <f>IF(B12="","",SQRT(F12)/C12)</f>
        <v/>
      </c>
      <c r="J12" s="18" t="inlineStr">
        <is>
          <t>% debido a diferencias entre grupos</t>
        </is>
      </c>
      <c r="K12" s="28">
        <f>IFERROR(K9/K10,"")</f>
        <v/>
      </c>
    </row>
    <row r="13">
      <c r="A13" s="19" t="n"/>
      <c r="B13" s="19" t="n"/>
      <c r="C13" s="19" t="n"/>
      <c r="D13" s="19" t="n"/>
      <c r="E13" s="19" t="n"/>
      <c r="F13" s="21">
        <f>IF(B13="","",IF(E13&lt;&gt;"",E13,D13^2))</f>
        <v/>
      </c>
      <c r="G13" s="21">
        <f>IF(B13="","",(C13-$K$7)^2*B13)</f>
        <v/>
      </c>
      <c r="H13" s="21">
        <f>IF(B13="","",SQRT(F13)/C13)</f>
        <v/>
      </c>
      <c r="J13" s="18" t="inlineStr">
        <is>
          <t>Grupo más homogéneo (menor CV)</t>
        </is>
      </c>
      <c r="K13" s="27">
        <f>IFERROR(INDEX(A7:A14,MATCH(MIN(H7:H14),H7:H14,0)),"")</f>
        <v/>
      </c>
    </row>
    <row r="14">
      <c r="A14" s="19" t="n"/>
      <c r="B14" s="19" t="n"/>
      <c r="C14" s="19" t="n"/>
      <c r="D14" s="19" t="n"/>
      <c r="E14" s="19" t="n"/>
      <c r="F14" s="21">
        <f>IF(B14="","",IF(E14&lt;&gt;"",E14,D14^2))</f>
        <v/>
      </c>
      <c r="G14" s="21">
        <f>IF(B14="","",(C14-$K$7)^2*B14)</f>
        <v/>
      </c>
      <c r="H14" s="21">
        <f>IF(B14="","",SQRT(F14)/C14)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FD0"/>
    <outlinePr summaryBelow="1" summaryRight="1"/>
    <pageSetUpPr/>
  </sheetPr>
  <dimension ref="A1:H15"/>
  <sheetViews>
    <sheetView zoomScale="115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50" customWidth="1" min="3" max="3"/>
  </cols>
  <sheetData>
    <row r="1" ht="30" customHeight="1">
      <c r="A1" s="12" t="inlineStr">
        <is>
          <t>E · Cambios de origen y escala (Y = a·X + b)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7" t="inlineStr">
        <is>
          <t>Qué pasa con la media y la varianza si todos los datos se multiplican por a y se les suma b.</t>
        </is>
      </c>
    </row>
    <row r="3">
      <c r="A3" s="14" t="inlineStr">
        <is>
          <t>Subir un 3 % → a = 1,03. Bajar un 2 % → a = 0,98. Sumar 50 € → b = 50. Si solo sumas, a = 1. Si solo multiplicas, b = 0.</t>
        </is>
      </c>
    </row>
    <row r="4">
      <c r="A4" s="15" t="inlineStr">
        <is>
          <t>Amarillo: escribe o pega aquí tus datos.  Verde: resultados (no los toques).</t>
        </is>
      </c>
    </row>
    <row r="5"/>
    <row r="6">
      <c r="A6" s="18" t="inlineStr">
        <is>
          <t>Media original</t>
        </is>
      </c>
      <c r="B6" s="19" t="n">
        <v>2550</v>
      </c>
    </row>
    <row r="7">
      <c r="A7" s="18" t="inlineStr">
        <is>
          <t>Varianza original</t>
        </is>
      </c>
      <c r="B7" s="19" t="n">
        <v>136500</v>
      </c>
    </row>
    <row r="8">
      <c r="A8" s="18" t="inlineStr">
        <is>
          <t>a (multiplica)</t>
        </is>
      </c>
      <c r="B8" s="19" t="n">
        <v>1.01</v>
      </c>
    </row>
    <row r="9">
      <c r="A9" s="18" t="inlineStr">
        <is>
          <t>b (suma)</t>
        </is>
      </c>
      <c r="B9" s="19" t="n">
        <v>25</v>
      </c>
    </row>
    <row r="10"/>
    <row r="11">
      <c r="A11" s="18" t="inlineStr">
        <is>
          <t>Nueva media = a·media + b</t>
        </is>
      </c>
      <c r="B11" s="24">
        <f>IFERROR(B8*B6+B9,"")</f>
        <v/>
      </c>
    </row>
    <row r="12">
      <c r="A12" s="18" t="inlineStr">
        <is>
          <t>Nueva varianza = a²·varianza</t>
        </is>
      </c>
      <c r="B12" s="24">
        <f>IFERROR(B8^2*B7,"")</f>
        <v/>
      </c>
      <c r="C12" s="25" t="inlineStr">
        <is>
          <t>Sumar (b) no cambia la varianza</t>
        </is>
      </c>
    </row>
    <row r="13">
      <c r="A13" s="18" t="inlineStr">
        <is>
          <t>Nueva desviación típica = |a|·S</t>
        </is>
      </c>
      <c r="B13" s="24">
        <f>IFERROR(ABS(B8)*SQRT(B7),"")</f>
        <v/>
      </c>
    </row>
    <row r="14">
      <c r="A14" s="18" t="inlineStr">
        <is>
          <t>CV antes</t>
        </is>
      </c>
      <c r="B14" s="24">
        <f>IFERROR(SQRT(B7)/B6,"")</f>
        <v/>
      </c>
    </row>
    <row r="15">
      <c r="A15" s="18" t="inlineStr">
        <is>
          <t>CV después</t>
        </is>
      </c>
      <c r="B15" s="24">
        <f>IFERROR(B13/B11,"")</f>
        <v/>
      </c>
      <c r="C15" s="25" t="inlineStr">
        <is>
          <t>Solo multiplicar no cambia el CV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8A68"/>
    <outlinePr summaryBelow="1" summaryRight="1"/>
    <pageSetUpPr/>
  </sheetPr>
  <dimension ref="A1:H62"/>
  <sheetViews>
    <sheetView zoomScale="115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0" customHeight="1">
      <c r="A1" s="29" t="inlineStr">
        <is>
          <t>F · Tabla de doble entrada</t>
        </is>
      </c>
      <c r="B1" s="30" t="n"/>
      <c r="C1" s="30" t="n"/>
      <c r="D1" s="30" t="n"/>
      <c r="E1" s="30" t="n"/>
      <c r="F1" s="30" t="n"/>
      <c r="G1" s="30" t="n"/>
      <c r="H1" s="30" t="n"/>
    </row>
    <row r="2">
      <c r="A2" s="7" t="inlineStr">
        <is>
          <t>Escribe los nombres de filas (A8:A13) y columnas (B7:G7) y las frecuencias.</t>
        </is>
      </c>
    </row>
    <row r="3">
      <c r="A3" s="14" t="inlineStr">
        <is>
          <t>Calcula totales, frecuencias relativas, la tabla de independencia, las condicionadas y si son independientes.</t>
        </is>
      </c>
    </row>
    <row r="4">
      <c r="A4" s="15" t="inlineStr">
        <is>
          <t>Amarillo: escribe o pega aquí tus datos.  Verde: resultados (no los toques).</t>
        </is>
      </c>
    </row>
    <row r="5"/>
    <row r="6"/>
    <row r="7">
      <c r="A7" s="18" t="inlineStr">
        <is>
          <t>X \ Y</t>
        </is>
      </c>
      <c r="B7" s="19" t="n"/>
      <c r="C7" s="19" t="n"/>
      <c r="D7" s="19" t="n"/>
      <c r="E7" s="19" t="n"/>
      <c r="F7" s="19" t="n"/>
      <c r="G7" s="19" t="n"/>
      <c r="H7" s="18" t="inlineStr">
        <is>
          <t>Total</t>
        </is>
      </c>
    </row>
    <row r="8">
      <c r="A8" s="19" t="n"/>
      <c r="B8" s="19" t="n"/>
      <c r="C8" s="19" t="n"/>
      <c r="D8" s="19" t="n"/>
      <c r="E8" s="19" t="n"/>
      <c r="F8" s="19" t="n"/>
      <c r="G8" s="19" t="n"/>
      <c r="H8" s="26">
        <f>IF(COUNT(B8:G8)=0,"",SUM(B8:G8))</f>
        <v/>
      </c>
    </row>
    <row r="9">
      <c r="A9" s="19" t="n"/>
      <c r="B9" s="19" t="n"/>
      <c r="C9" s="19" t="n"/>
      <c r="D9" s="19" t="n"/>
      <c r="E9" s="19" t="n"/>
      <c r="F9" s="19" t="n"/>
      <c r="G9" s="19" t="n"/>
      <c r="H9" s="26">
        <f>IF(COUNT(B9:G9)=0,"",SUM(B9:G9))</f>
        <v/>
      </c>
    </row>
    <row r="10">
      <c r="A10" s="19" t="n"/>
      <c r="B10" s="19" t="n"/>
      <c r="C10" s="19" t="n"/>
      <c r="D10" s="19" t="n"/>
      <c r="E10" s="19" t="n"/>
      <c r="F10" s="19" t="n"/>
      <c r="G10" s="19" t="n"/>
      <c r="H10" s="26">
        <f>IF(COUNT(B10:G10)=0,"",SUM(B10:G10))</f>
        <v/>
      </c>
    </row>
    <row r="11">
      <c r="A11" s="19" t="n"/>
      <c r="B11" s="19" t="n"/>
      <c r="C11" s="19" t="n"/>
      <c r="D11" s="19" t="n"/>
      <c r="E11" s="19" t="n"/>
      <c r="F11" s="19" t="n"/>
      <c r="G11" s="19" t="n"/>
      <c r="H11" s="26">
        <f>IF(COUNT(B11:G11)=0,"",SUM(B11:G11))</f>
        <v/>
      </c>
    </row>
    <row r="12">
      <c r="A12" s="19" t="n"/>
      <c r="B12" s="19" t="n"/>
      <c r="C12" s="19" t="n"/>
      <c r="D12" s="19" t="n"/>
      <c r="E12" s="19" t="n"/>
      <c r="F12" s="19" t="n"/>
      <c r="G12" s="19" t="n"/>
      <c r="H12" s="26">
        <f>IF(COUNT(B12:G12)=0,"",SUM(B12:G12))</f>
        <v/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26">
        <f>IF(COUNT(B13:G13)=0,"",SUM(B13:G13))</f>
        <v/>
      </c>
    </row>
    <row r="14">
      <c r="A14" s="18" t="inlineStr">
        <is>
          <t>Total</t>
        </is>
      </c>
      <c r="B14" s="26">
        <f>IF(COUNT(B8:B13)=0,"",SUM(B8:B13))</f>
        <v/>
      </c>
      <c r="C14" s="26">
        <f>IF(COUNT(C8:C13)=0,"",SUM(C8:C13))</f>
        <v/>
      </c>
      <c r="D14" s="26">
        <f>IF(COUNT(D8:D13)=0,"",SUM(D8:D13))</f>
        <v/>
      </c>
      <c r="E14" s="26">
        <f>IF(COUNT(E8:E13)=0,"",SUM(E8:E13))</f>
        <v/>
      </c>
      <c r="F14" s="26">
        <f>IF(COUNT(F8:F13)=0,"",SUM(F8:F13))</f>
        <v/>
      </c>
      <c r="G14" s="26">
        <f>IF(COUNT(G8:G13)=0,"",SUM(G8:G13))</f>
        <v/>
      </c>
      <c r="H14" s="26">
        <f>IF(COUNT(H8:H13)=0,"",SUM(H8:H13))</f>
        <v/>
      </c>
    </row>
    <row r="15"/>
    <row r="16">
      <c r="A16" s="31" t="inlineStr">
        <is>
          <t>Frecuencias relativas fᵢⱼ = nᵢⱼ / n</t>
        </is>
      </c>
    </row>
    <row r="17">
      <c r="B17" s="18">
        <f>IF(B$7="","",B$7)</f>
        <v/>
      </c>
      <c r="C17" s="18">
        <f>IF(C$7="","",C$7)</f>
        <v/>
      </c>
      <c r="D17" s="18">
        <f>IF(D$7="","",D$7)</f>
        <v/>
      </c>
      <c r="E17" s="18">
        <f>IF(E$7="","",E$7)</f>
        <v/>
      </c>
      <c r="F17" s="18">
        <f>IF(F$7="","",F$7)</f>
        <v/>
      </c>
      <c r="G17" s="18">
        <f>IF(G$7="","",G$7)</f>
        <v/>
      </c>
    </row>
    <row r="18">
      <c r="A18" s="18">
        <f>IF($A8="","",$A8)</f>
        <v/>
      </c>
      <c r="B18" s="21">
        <f>IF(B8="","",B8/$H$14)</f>
        <v/>
      </c>
      <c r="C18" s="21">
        <f>IF(C8="","",C8/$H$14)</f>
        <v/>
      </c>
      <c r="D18" s="21">
        <f>IF(D8="","",D8/$H$14)</f>
        <v/>
      </c>
      <c r="E18" s="21">
        <f>IF(E8="","",E8/$H$14)</f>
        <v/>
      </c>
      <c r="F18" s="21">
        <f>IF(F8="","",F8/$H$14)</f>
        <v/>
      </c>
      <c r="G18" s="21">
        <f>IF(G8="","",G8/$H$14)</f>
        <v/>
      </c>
    </row>
    <row r="19">
      <c r="A19" s="18">
        <f>IF($A9="","",$A9)</f>
        <v/>
      </c>
      <c r="B19" s="21">
        <f>IF(B9="","",B9/$H$14)</f>
        <v/>
      </c>
      <c r="C19" s="21">
        <f>IF(C9="","",C9/$H$14)</f>
        <v/>
      </c>
      <c r="D19" s="21">
        <f>IF(D9="","",D9/$H$14)</f>
        <v/>
      </c>
      <c r="E19" s="21">
        <f>IF(E9="","",E9/$H$14)</f>
        <v/>
      </c>
      <c r="F19" s="21">
        <f>IF(F9="","",F9/$H$14)</f>
        <v/>
      </c>
      <c r="G19" s="21">
        <f>IF(G9="","",G9/$H$14)</f>
        <v/>
      </c>
    </row>
    <row r="20">
      <c r="A20" s="18">
        <f>IF($A10="","",$A10)</f>
        <v/>
      </c>
      <c r="B20" s="21">
        <f>IF(B10="","",B10/$H$14)</f>
        <v/>
      </c>
      <c r="C20" s="21">
        <f>IF(C10="","",C10/$H$14)</f>
        <v/>
      </c>
      <c r="D20" s="21">
        <f>IF(D10="","",D10/$H$14)</f>
        <v/>
      </c>
      <c r="E20" s="21">
        <f>IF(E10="","",E10/$H$14)</f>
        <v/>
      </c>
      <c r="F20" s="21">
        <f>IF(F10="","",F10/$H$14)</f>
        <v/>
      </c>
      <c r="G20" s="21">
        <f>IF(G10="","",G10/$H$14)</f>
        <v/>
      </c>
    </row>
    <row r="21">
      <c r="A21" s="18">
        <f>IF($A11="","",$A11)</f>
        <v/>
      </c>
      <c r="B21" s="21">
        <f>IF(B11="","",B11/$H$14)</f>
        <v/>
      </c>
      <c r="C21" s="21">
        <f>IF(C11="","",C11/$H$14)</f>
        <v/>
      </c>
      <c r="D21" s="21">
        <f>IF(D11="","",D11/$H$14)</f>
        <v/>
      </c>
      <c r="E21" s="21">
        <f>IF(E11="","",E11/$H$14)</f>
        <v/>
      </c>
      <c r="F21" s="21">
        <f>IF(F11="","",F11/$H$14)</f>
        <v/>
      </c>
      <c r="G21" s="21">
        <f>IF(G11="","",G11/$H$14)</f>
        <v/>
      </c>
    </row>
    <row r="22">
      <c r="A22" s="18">
        <f>IF($A12="","",$A12)</f>
        <v/>
      </c>
      <c r="B22" s="21">
        <f>IF(B12="","",B12/$H$14)</f>
        <v/>
      </c>
      <c r="C22" s="21">
        <f>IF(C12="","",C12/$H$14)</f>
        <v/>
      </c>
      <c r="D22" s="21">
        <f>IF(D12="","",D12/$H$14)</f>
        <v/>
      </c>
      <c r="E22" s="21">
        <f>IF(E12="","",E12/$H$14)</f>
        <v/>
      </c>
      <c r="F22" s="21">
        <f>IF(F12="","",F12/$H$14)</f>
        <v/>
      </c>
      <c r="G22" s="21">
        <f>IF(G12="","",G12/$H$14)</f>
        <v/>
      </c>
    </row>
    <row r="23">
      <c r="A23" s="18">
        <f>IF($A13="","",$A13)</f>
        <v/>
      </c>
      <c r="B23" s="21">
        <f>IF(B13="","",B13/$H$14)</f>
        <v/>
      </c>
      <c r="C23" s="21">
        <f>IF(C13="","",C13/$H$14)</f>
        <v/>
      </c>
      <c r="D23" s="21">
        <f>IF(D13="","",D13/$H$14)</f>
        <v/>
      </c>
      <c r="E23" s="21">
        <f>IF(E13="","",E13/$H$14)</f>
        <v/>
      </c>
      <c r="F23" s="21">
        <f>IF(F13="","",F13/$H$14)</f>
        <v/>
      </c>
      <c r="G23" s="21">
        <f>IF(G13="","",G13/$H$14)</f>
        <v/>
      </c>
    </row>
    <row r="24"/>
    <row r="25">
      <c r="A25" s="31" t="inlineStr">
        <is>
          <t>Si fueran independientes: fᵢ. × f.ⱼ</t>
        </is>
      </c>
    </row>
    <row r="26">
      <c r="B26" s="18">
        <f>IF(B$7="","",B$7)</f>
        <v/>
      </c>
      <c r="C26" s="18">
        <f>IF(C$7="","",C$7)</f>
        <v/>
      </c>
      <c r="D26" s="18">
        <f>IF(D$7="","",D$7)</f>
        <v/>
      </c>
      <c r="E26" s="18">
        <f>IF(E$7="","",E$7)</f>
        <v/>
      </c>
      <c r="F26" s="18">
        <f>IF(F$7="","",F$7)</f>
        <v/>
      </c>
      <c r="G26" s="18">
        <f>IF(G$7="","",G$7)</f>
        <v/>
      </c>
    </row>
    <row r="27">
      <c r="A27" s="18">
        <f>IF($A8="","",$A8)</f>
        <v/>
      </c>
      <c r="B27" s="21">
        <f>IF(B8="","",($H8/$H$14)*(B$14/$H$14))</f>
        <v/>
      </c>
      <c r="C27" s="21">
        <f>IF(C8="","",($H8/$H$14)*(C$14/$H$14))</f>
        <v/>
      </c>
      <c r="D27" s="21">
        <f>IF(D8="","",($H8/$H$14)*(D$14/$H$14))</f>
        <v/>
      </c>
      <c r="E27" s="21">
        <f>IF(E8="","",($H8/$H$14)*(E$14/$H$14))</f>
        <v/>
      </c>
      <c r="F27" s="21">
        <f>IF(F8="","",($H8/$H$14)*(F$14/$H$14))</f>
        <v/>
      </c>
      <c r="G27" s="21">
        <f>IF(G8="","",($H8/$H$14)*(G$14/$H$14))</f>
        <v/>
      </c>
    </row>
    <row r="28">
      <c r="A28" s="18">
        <f>IF($A9="","",$A9)</f>
        <v/>
      </c>
      <c r="B28" s="21">
        <f>IF(B9="","",($H9/$H$14)*(B$14/$H$14))</f>
        <v/>
      </c>
      <c r="C28" s="21">
        <f>IF(C9="","",($H9/$H$14)*(C$14/$H$14))</f>
        <v/>
      </c>
      <c r="D28" s="21">
        <f>IF(D9="","",($H9/$H$14)*(D$14/$H$14))</f>
        <v/>
      </c>
      <c r="E28" s="21">
        <f>IF(E9="","",($H9/$H$14)*(E$14/$H$14))</f>
        <v/>
      </c>
      <c r="F28" s="21">
        <f>IF(F9="","",($H9/$H$14)*(F$14/$H$14))</f>
        <v/>
      </c>
      <c r="G28" s="21">
        <f>IF(G9="","",($H9/$H$14)*(G$14/$H$14))</f>
        <v/>
      </c>
    </row>
    <row r="29">
      <c r="A29" s="18">
        <f>IF($A10="","",$A10)</f>
        <v/>
      </c>
      <c r="B29" s="21">
        <f>IF(B10="","",($H10/$H$14)*(B$14/$H$14))</f>
        <v/>
      </c>
      <c r="C29" s="21">
        <f>IF(C10="","",($H10/$H$14)*(C$14/$H$14))</f>
        <v/>
      </c>
      <c r="D29" s="21">
        <f>IF(D10="","",($H10/$H$14)*(D$14/$H$14))</f>
        <v/>
      </c>
      <c r="E29" s="21">
        <f>IF(E10="","",($H10/$H$14)*(E$14/$H$14))</f>
        <v/>
      </c>
      <c r="F29" s="21">
        <f>IF(F10="","",($H10/$H$14)*(F$14/$H$14))</f>
        <v/>
      </c>
      <c r="G29" s="21">
        <f>IF(G10="","",($H10/$H$14)*(G$14/$H$14))</f>
        <v/>
      </c>
    </row>
    <row r="30">
      <c r="A30" s="18">
        <f>IF($A11="","",$A11)</f>
        <v/>
      </c>
      <c r="B30" s="21">
        <f>IF(B11="","",($H11/$H$14)*(B$14/$H$14))</f>
        <v/>
      </c>
      <c r="C30" s="21">
        <f>IF(C11="","",($H11/$H$14)*(C$14/$H$14))</f>
        <v/>
      </c>
      <c r="D30" s="21">
        <f>IF(D11="","",($H11/$H$14)*(D$14/$H$14))</f>
        <v/>
      </c>
      <c r="E30" s="21">
        <f>IF(E11="","",($H11/$H$14)*(E$14/$H$14))</f>
        <v/>
      </c>
      <c r="F30" s="21">
        <f>IF(F11="","",($H11/$H$14)*(F$14/$H$14))</f>
        <v/>
      </c>
      <c r="G30" s="21">
        <f>IF(G11="","",($H11/$H$14)*(G$14/$H$14))</f>
        <v/>
      </c>
    </row>
    <row r="31">
      <c r="A31" s="18">
        <f>IF($A12="","",$A12)</f>
        <v/>
      </c>
      <c r="B31" s="21">
        <f>IF(B12="","",($H12/$H$14)*(B$14/$H$14))</f>
        <v/>
      </c>
      <c r="C31" s="21">
        <f>IF(C12="","",($H12/$H$14)*(C$14/$H$14))</f>
        <v/>
      </c>
      <c r="D31" s="21">
        <f>IF(D12="","",($H12/$H$14)*(D$14/$H$14))</f>
        <v/>
      </c>
      <c r="E31" s="21">
        <f>IF(E12="","",($H12/$H$14)*(E$14/$H$14))</f>
        <v/>
      </c>
      <c r="F31" s="21">
        <f>IF(F12="","",($H12/$H$14)*(F$14/$H$14))</f>
        <v/>
      </c>
      <c r="G31" s="21">
        <f>IF(G12="","",($H12/$H$14)*(G$14/$H$14))</f>
        <v/>
      </c>
    </row>
    <row r="32">
      <c r="A32" s="18">
        <f>IF($A13="","",$A13)</f>
        <v/>
      </c>
      <c r="B32" s="21">
        <f>IF(B13="","",($H13/$H$14)*(B$14/$H$14))</f>
        <v/>
      </c>
      <c r="C32" s="21">
        <f>IF(C13="","",($H13/$H$14)*(C$14/$H$14))</f>
        <v/>
      </c>
      <c r="D32" s="21">
        <f>IF(D13="","",($H13/$H$14)*(D$14/$H$14))</f>
        <v/>
      </c>
      <c r="E32" s="21">
        <f>IF(E13="","",($H13/$H$14)*(E$14/$H$14))</f>
        <v/>
      </c>
      <c r="F32" s="21">
        <f>IF(F13="","",($H13/$H$14)*(F$14/$H$14))</f>
        <v/>
      </c>
      <c r="G32" s="21">
        <f>IF(G13="","",($H13/$H$14)*(G$14/$H$14))</f>
        <v/>
      </c>
    </row>
    <row r="33"/>
    <row r="34">
      <c r="A34" s="31" t="inlineStr">
        <is>
          <t>Condicionadas por filas (Y | X): % de cada fila</t>
        </is>
      </c>
    </row>
    <row r="35">
      <c r="B35" s="18">
        <f>IF(B$7="","",B$7)</f>
        <v/>
      </c>
      <c r="C35" s="18">
        <f>IF(C$7="","",C$7)</f>
        <v/>
      </c>
      <c r="D35" s="18">
        <f>IF(D$7="","",D$7)</f>
        <v/>
      </c>
      <c r="E35" s="18">
        <f>IF(E$7="","",E$7)</f>
        <v/>
      </c>
      <c r="F35" s="18">
        <f>IF(F$7="","",F$7)</f>
        <v/>
      </c>
      <c r="G35" s="18">
        <f>IF(G$7="","",G$7)</f>
        <v/>
      </c>
    </row>
    <row r="36">
      <c r="A36" s="18">
        <f>IF($A8="","",$A8)</f>
        <v/>
      </c>
      <c r="B36" s="32">
        <f>IF(B8="","",B8/$H8)</f>
        <v/>
      </c>
      <c r="C36" s="32">
        <f>IF(C8="","",C8/$H8)</f>
        <v/>
      </c>
      <c r="D36" s="32">
        <f>IF(D8="","",D8/$H8)</f>
        <v/>
      </c>
      <c r="E36" s="32">
        <f>IF(E8="","",E8/$H8)</f>
        <v/>
      </c>
      <c r="F36" s="32">
        <f>IF(F8="","",F8/$H8)</f>
        <v/>
      </c>
      <c r="G36" s="32">
        <f>IF(G8="","",G8/$H8)</f>
        <v/>
      </c>
    </row>
    <row r="37">
      <c r="A37" s="18">
        <f>IF($A9="","",$A9)</f>
        <v/>
      </c>
      <c r="B37" s="32">
        <f>IF(B9="","",B9/$H9)</f>
        <v/>
      </c>
      <c r="C37" s="32">
        <f>IF(C9="","",C9/$H9)</f>
        <v/>
      </c>
      <c r="D37" s="32">
        <f>IF(D9="","",D9/$H9)</f>
        <v/>
      </c>
      <c r="E37" s="32">
        <f>IF(E9="","",E9/$H9)</f>
        <v/>
      </c>
      <c r="F37" s="32">
        <f>IF(F9="","",F9/$H9)</f>
        <v/>
      </c>
      <c r="G37" s="32">
        <f>IF(G9="","",G9/$H9)</f>
        <v/>
      </c>
    </row>
    <row r="38">
      <c r="A38" s="18">
        <f>IF($A10="","",$A10)</f>
        <v/>
      </c>
      <c r="B38" s="32">
        <f>IF(B10="","",B10/$H10)</f>
        <v/>
      </c>
      <c r="C38" s="32">
        <f>IF(C10="","",C10/$H10)</f>
        <v/>
      </c>
      <c r="D38" s="32">
        <f>IF(D10="","",D10/$H10)</f>
        <v/>
      </c>
      <c r="E38" s="32">
        <f>IF(E10="","",E10/$H10)</f>
        <v/>
      </c>
      <c r="F38" s="32">
        <f>IF(F10="","",F10/$H10)</f>
        <v/>
      </c>
      <c r="G38" s="32">
        <f>IF(G10="","",G10/$H10)</f>
        <v/>
      </c>
    </row>
    <row r="39">
      <c r="A39" s="18">
        <f>IF($A11="","",$A11)</f>
        <v/>
      </c>
      <c r="B39" s="32">
        <f>IF(B11="","",B11/$H11)</f>
        <v/>
      </c>
      <c r="C39" s="32">
        <f>IF(C11="","",C11/$H11)</f>
        <v/>
      </c>
      <c r="D39" s="32">
        <f>IF(D11="","",D11/$H11)</f>
        <v/>
      </c>
      <c r="E39" s="32">
        <f>IF(E11="","",E11/$H11)</f>
        <v/>
      </c>
      <c r="F39" s="32">
        <f>IF(F11="","",F11/$H11)</f>
        <v/>
      </c>
      <c r="G39" s="32">
        <f>IF(G11="","",G11/$H11)</f>
        <v/>
      </c>
    </row>
    <row r="40">
      <c r="A40" s="18">
        <f>IF($A12="","",$A12)</f>
        <v/>
      </c>
      <c r="B40" s="32">
        <f>IF(B12="","",B12/$H12)</f>
        <v/>
      </c>
      <c r="C40" s="32">
        <f>IF(C12="","",C12/$H12)</f>
        <v/>
      </c>
      <c r="D40" s="32">
        <f>IF(D12="","",D12/$H12)</f>
        <v/>
      </c>
      <c r="E40" s="32">
        <f>IF(E12="","",E12/$H12)</f>
        <v/>
      </c>
      <c r="F40" s="32">
        <f>IF(F12="","",F12/$H12)</f>
        <v/>
      </c>
      <c r="G40" s="32">
        <f>IF(G12="","",G12/$H12)</f>
        <v/>
      </c>
    </row>
    <row r="41">
      <c r="A41" s="18">
        <f>IF($A13="","",$A13)</f>
        <v/>
      </c>
      <c r="B41" s="32">
        <f>IF(B13="","",B13/$H13)</f>
        <v/>
      </c>
      <c r="C41" s="32">
        <f>IF(C13="","",C13/$H13)</f>
        <v/>
      </c>
      <c r="D41" s="32">
        <f>IF(D13="","",D13/$H13)</f>
        <v/>
      </c>
      <c r="E41" s="32">
        <f>IF(E13="","",E13/$H13)</f>
        <v/>
      </c>
      <c r="F41" s="32">
        <f>IF(F13="","",F13/$H13)</f>
        <v/>
      </c>
      <c r="G41" s="32">
        <f>IF(G13="","",G13/$H13)</f>
        <v/>
      </c>
    </row>
    <row r="42"/>
    <row r="43">
      <c r="A43" s="31" t="inlineStr">
        <is>
          <t>Condicionadas por columnas (X | Y): % de cada columna</t>
        </is>
      </c>
    </row>
    <row r="44">
      <c r="B44" s="18">
        <f>IF(B$7="","",B$7)</f>
        <v/>
      </c>
      <c r="C44" s="18">
        <f>IF(C$7="","",C$7)</f>
        <v/>
      </c>
      <c r="D44" s="18">
        <f>IF(D$7="","",D$7)</f>
        <v/>
      </c>
      <c r="E44" s="18">
        <f>IF(E$7="","",E$7)</f>
        <v/>
      </c>
      <c r="F44" s="18">
        <f>IF(F$7="","",F$7)</f>
        <v/>
      </c>
      <c r="G44" s="18">
        <f>IF(G$7="","",G$7)</f>
        <v/>
      </c>
    </row>
    <row r="45">
      <c r="A45" s="18">
        <f>IF($A8="","",$A8)</f>
        <v/>
      </c>
      <c r="B45" s="32">
        <f>IF(B8="","",B8/B$14)</f>
        <v/>
      </c>
      <c r="C45" s="32">
        <f>IF(C8="","",C8/C$14)</f>
        <v/>
      </c>
      <c r="D45" s="32">
        <f>IF(D8="","",D8/D$14)</f>
        <v/>
      </c>
      <c r="E45" s="32">
        <f>IF(E8="","",E8/E$14)</f>
        <v/>
      </c>
      <c r="F45" s="32">
        <f>IF(F8="","",F8/F$14)</f>
        <v/>
      </c>
      <c r="G45" s="32">
        <f>IF(G8="","",G8/G$14)</f>
        <v/>
      </c>
    </row>
    <row r="46">
      <c r="A46" s="18">
        <f>IF($A9="","",$A9)</f>
        <v/>
      </c>
      <c r="B46" s="32">
        <f>IF(B9="","",B9/B$14)</f>
        <v/>
      </c>
      <c r="C46" s="32">
        <f>IF(C9="","",C9/C$14)</f>
        <v/>
      </c>
      <c r="D46" s="32">
        <f>IF(D9="","",D9/D$14)</f>
        <v/>
      </c>
      <c r="E46" s="32">
        <f>IF(E9="","",E9/E$14)</f>
        <v/>
      </c>
      <c r="F46" s="32">
        <f>IF(F9="","",F9/F$14)</f>
        <v/>
      </c>
      <c r="G46" s="32">
        <f>IF(G9="","",G9/G$14)</f>
        <v/>
      </c>
    </row>
    <row r="47">
      <c r="A47" s="18">
        <f>IF($A10="","",$A10)</f>
        <v/>
      </c>
      <c r="B47" s="32">
        <f>IF(B10="","",B10/B$14)</f>
        <v/>
      </c>
      <c r="C47" s="32">
        <f>IF(C10="","",C10/C$14)</f>
        <v/>
      </c>
      <c r="D47" s="32">
        <f>IF(D10="","",D10/D$14)</f>
        <v/>
      </c>
      <c r="E47" s="32">
        <f>IF(E10="","",E10/E$14)</f>
        <v/>
      </c>
      <c r="F47" s="32">
        <f>IF(F10="","",F10/F$14)</f>
        <v/>
      </c>
      <c r="G47" s="32">
        <f>IF(G10="","",G10/G$14)</f>
        <v/>
      </c>
    </row>
    <row r="48">
      <c r="A48" s="18">
        <f>IF($A11="","",$A11)</f>
        <v/>
      </c>
      <c r="B48" s="32">
        <f>IF(B11="","",B11/B$14)</f>
        <v/>
      </c>
      <c r="C48" s="32">
        <f>IF(C11="","",C11/C$14)</f>
        <v/>
      </c>
      <c r="D48" s="32">
        <f>IF(D11="","",D11/D$14)</f>
        <v/>
      </c>
      <c r="E48" s="32">
        <f>IF(E11="","",E11/E$14)</f>
        <v/>
      </c>
      <c r="F48" s="32">
        <f>IF(F11="","",F11/F$14)</f>
        <v/>
      </c>
      <c r="G48" s="32">
        <f>IF(G11="","",G11/G$14)</f>
        <v/>
      </c>
    </row>
    <row r="49">
      <c r="A49" s="18">
        <f>IF($A12="","",$A12)</f>
        <v/>
      </c>
      <c r="B49" s="32">
        <f>IF(B12="","",B12/B$14)</f>
        <v/>
      </c>
      <c r="C49" s="32">
        <f>IF(C12="","",C12/C$14)</f>
        <v/>
      </c>
      <c r="D49" s="32">
        <f>IF(D12="","",D12/D$14)</f>
        <v/>
      </c>
      <c r="E49" s="32">
        <f>IF(E12="","",E12/E$14)</f>
        <v/>
      </c>
      <c r="F49" s="32">
        <f>IF(F12="","",F12/F$14)</f>
        <v/>
      </c>
      <c r="G49" s="32">
        <f>IF(G12="","",G12/G$14)</f>
        <v/>
      </c>
    </row>
    <row r="50">
      <c r="A50" s="18">
        <f>IF($A13="","",$A13)</f>
        <v/>
      </c>
      <c r="B50" s="32">
        <f>IF(B13="","",B13/B$14)</f>
        <v/>
      </c>
      <c r="C50" s="32">
        <f>IF(C13="","",C13/C$14)</f>
        <v/>
      </c>
      <c r="D50" s="32">
        <f>IF(D13="","",D13/D$14)</f>
        <v/>
      </c>
      <c r="E50" s="32">
        <f>IF(E13="","",E13/E$14)</f>
        <v/>
      </c>
      <c r="F50" s="32">
        <f>IF(F13="","",F13/F$14)</f>
        <v/>
      </c>
      <c r="G50" s="32">
        <f>IF(G13="","",G13/G$14)</f>
        <v/>
      </c>
    </row>
    <row r="51"/>
    <row r="52">
      <c r="A52" s="31" t="inlineStr">
        <is>
          <t>Diferencias |fᵢⱼ − fᵢ.·f.ⱼ|</t>
        </is>
      </c>
    </row>
    <row r="53">
      <c r="B53" s="18">
        <f>IF(B$7="","",B$7)</f>
        <v/>
      </c>
      <c r="C53" s="18">
        <f>IF(C$7="","",C$7)</f>
        <v/>
      </c>
      <c r="D53" s="18">
        <f>IF(D$7="","",D$7)</f>
        <v/>
      </c>
      <c r="E53" s="18">
        <f>IF(E$7="","",E$7)</f>
        <v/>
      </c>
      <c r="F53" s="18">
        <f>IF(F$7="","",F$7)</f>
        <v/>
      </c>
      <c r="G53" s="18">
        <f>IF(G$7="","",G$7)</f>
        <v/>
      </c>
    </row>
    <row r="54">
      <c r="A54" s="18">
        <f>IF($A8="","",$A8)</f>
        <v/>
      </c>
      <c r="B54" s="21">
        <f>IF(B18="","",ABS(B18-B27))</f>
        <v/>
      </c>
      <c r="C54" s="21">
        <f>IF(C18="","",ABS(C18-C27))</f>
        <v/>
      </c>
      <c r="D54" s="21">
        <f>IF(D18="","",ABS(D18-D27))</f>
        <v/>
      </c>
      <c r="E54" s="21">
        <f>IF(E18="","",ABS(E18-E27))</f>
        <v/>
      </c>
      <c r="F54" s="21">
        <f>IF(F18="","",ABS(F18-F27))</f>
        <v/>
      </c>
      <c r="G54" s="21">
        <f>IF(G18="","",ABS(G18-G27))</f>
        <v/>
      </c>
    </row>
    <row r="55">
      <c r="A55" s="18">
        <f>IF($A9="","",$A9)</f>
        <v/>
      </c>
      <c r="B55" s="21">
        <f>IF(B19="","",ABS(B19-B28))</f>
        <v/>
      </c>
      <c r="C55" s="21">
        <f>IF(C19="","",ABS(C19-C28))</f>
        <v/>
      </c>
      <c r="D55" s="21">
        <f>IF(D19="","",ABS(D19-D28))</f>
        <v/>
      </c>
      <c r="E55" s="21">
        <f>IF(E19="","",ABS(E19-E28))</f>
        <v/>
      </c>
      <c r="F55" s="21">
        <f>IF(F19="","",ABS(F19-F28))</f>
        <v/>
      </c>
      <c r="G55" s="21">
        <f>IF(G19="","",ABS(G19-G28))</f>
        <v/>
      </c>
    </row>
    <row r="56">
      <c r="A56" s="18">
        <f>IF($A10="","",$A10)</f>
        <v/>
      </c>
      <c r="B56" s="21">
        <f>IF(B20="","",ABS(B20-B29))</f>
        <v/>
      </c>
      <c r="C56" s="21">
        <f>IF(C20="","",ABS(C20-C29))</f>
        <v/>
      </c>
      <c r="D56" s="21">
        <f>IF(D20="","",ABS(D20-D29))</f>
        <v/>
      </c>
      <c r="E56" s="21">
        <f>IF(E20="","",ABS(E20-E29))</f>
        <v/>
      </c>
      <c r="F56" s="21">
        <f>IF(F20="","",ABS(F20-F29))</f>
        <v/>
      </c>
      <c r="G56" s="21">
        <f>IF(G20="","",ABS(G20-G29))</f>
        <v/>
      </c>
    </row>
    <row r="57">
      <c r="A57" s="18">
        <f>IF($A11="","",$A11)</f>
        <v/>
      </c>
      <c r="B57" s="21">
        <f>IF(B21="","",ABS(B21-B30))</f>
        <v/>
      </c>
      <c r="C57" s="21">
        <f>IF(C21="","",ABS(C21-C30))</f>
        <v/>
      </c>
      <c r="D57" s="21">
        <f>IF(D21="","",ABS(D21-D30))</f>
        <v/>
      </c>
      <c r="E57" s="21">
        <f>IF(E21="","",ABS(E21-E30))</f>
        <v/>
      </c>
      <c r="F57" s="21">
        <f>IF(F21="","",ABS(F21-F30))</f>
        <v/>
      </c>
      <c r="G57" s="21">
        <f>IF(G21="","",ABS(G21-G30))</f>
        <v/>
      </c>
    </row>
    <row r="58">
      <c r="A58" s="18">
        <f>IF($A12="","",$A12)</f>
        <v/>
      </c>
      <c r="B58" s="21">
        <f>IF(B22="","",ABS(B22-B31))</f>
        <v/>
      </c>
      <c r="C58" s="21">
        <f>IF(C22="","",ABS(C22-C31))</f>
        <v/>
      </c>
      <c r="D58" s="21">
        <f>IF(D22="","",ABS(D22-D31))</f>
        <v/>
      </c>
      <c r="E58" s="21">
        <f>IF(E22="","",ABS(E22-E31))</f>
        <v/>
      </c>
      <c r="F58" s="21">
        <f>IF(F22="","",ABS(F22-F31))</f>
        <v/>
      </c>
      <c r="G58" s="21">
        <f>IF(G22="","",ABS(G22-G31))</f>
        <v/>
      </c>
    </row>
    <row r="59">
      <c r="A59" s="18">
        <f>IF($A13="","",$A13)</f>
        <v/>
      </c>
      <c r="B59" s="21">
        <f>IF(B23="","",ABS(B23-B32))</f>
        <v/>
      </c>
      <c r="C59" s="21">
        <f>IF(C23="","",ABS(C23-C32))</f>
        <v/>
      </c>
      <c r="D59" s="21">
        <f>IF(D23="","",ABS(D23-D32))</f>
        <v/>
      </c>
      <c r="E59" s="21">
        <f>IF(E23="","",ABS(E23-E32))</f>
        <v/>
      </c>
      <c r="F59" s="21">
        <f>IF(F23="","",ABS(F23-F32))</f>
        <v/>
      </c>
      <c r="G59" s="21">
        <f>IF(G23="","",ABS(G23-G32))</f>
        <v/>
      </c>
    </row>
    <row r="60"/>
    <row r="61">
      <c r="A61" s="18" t="inlineStr">
        <is>
          <t>Mayor diferencia</t>
        </is>
      </c>
      <c r="B61" s="24">
        <f>IFERROR(MAX(B54:G59),"")</f>
        <v/>
      </c>
    </row>
    <row r="62">
      <c r="A62" s="18" t="inlineStr">
        <is>
          <t>¿Independientes?</t>
        </is>
      </c>
      <c r="B62" s="27">
        <f>IFERROR(IF(B61&lt;0.0005,"Sí: coinciden en todas las casillas","No: hay casillas donde fᵢⱼ ≠ fᵢ.·f.ⱼ"),"")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2185B"/>
    <outlinePr summaryBelow="1" summaryRight="1"/>
    <pageSetUpPr/>
  </sheetPr>
  <dimension ref="A1:H506"/>
  <sheetViews>
    <sheetView zoomScale="115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" customWidth="1" min="3" max="3"/>
    <col width="40" customWidth="1" min="4" max="4"/>
    <col width="16" customWidth="1" min="5" max="5"/>
    <col width="36" customWidth="1" min="6" max="6"/>
  </cols>
  <sheetData>
    <row r="1" ht="30" customHeight="1">
      <c r="A1" s="33" t="inlineStr">
        <is>
          <t>G · Regresión y correlación con datos</t>
        </is>
      </c>
      <c r="B1" s="34" t="n"/>
      <c r="C1" s="34" t="n"/>
      <c r="D1" s="34" t="n"/>
      <c r="E1" s="34" t="n"/>
      <c r="F1" s="34" t="n"/>
      <c r="G1" s="34" t="n"/>
      <c r="H1" s="34" t="n"/>
    </row>
    <row r="2">
      <c r="A2" s="7" t="inlineStr">
        <is>
          <t>Pega X en la columna A y Y en la B (desde la fila 7). Hasta 500 pares.</t>
        </is>
      </c>
    </row>
    <row r="3">
      <c r="A3" s="14" t="inlineStr">
        <is>
          <t>La recta de Y sobre X es la que se usa para predecir Y. Para la nube de puntos: selecciona A y B → Insertar → Dispersión → línea de tendencia.</t>
        </is>
      </c>
    </row>
    <row r="4">
      <c r="A4" s="15" t="inlineStr">
        <is>
          <t>Amarillo: escribe o pega aquí tus datos.  Verde: resultados (no los toques).</t>
        </is>
      </c>
    </row>
    <row r="5">
      <c r="D5" s="16" t="inlineStr">
        <is>
          <t>Valor de X para la predicción →</t>
        </is>
      </c>
      <c r="E5" s="17" t="n">
        <v>11</v>
      </c>
    </row>
    <row r="6">
      <c r="A6" s="3" t="inlineStr">
        <is>
          <t>X</t>
        </is>
      </c>
      <c r="B6" s="3" t="inlineStr">
        <is>
          <t>Y</t>
        </is>
      </c>
    </row>
    <row r="7">
      <c r="A7" s="19" t="n"/>
      <c r="B7" s="19" t="n"/>
      <c r="D7" s="18" t="inlineStr">
        <is>
          <t>n</t>
        </is>
      </c>
      <c r="E7" s="27">
        <f>IFERROR(COUNT($A$7:$A$506),"")</f>
        <v/>
      </c>
    </row>
    <row r="8">
      <c r="A8" s="19" t="n"/>
      <c r="B8" s="19" t="n"/>
      <c r="D8" s="18" t="inlineStr">
        <is>
          <t>Media de X</t>
        </is>
      </c>
      <c r="E8" s="24">
        <f>IFERROR(AVERAGE($A$7:$A$506),"")</f>
        <v/>
      </c>
    </row>
    <row r="9">
      <c r="A9" s="19" t="n"/>
      <c r="B9" s="19" t="n"/>
      <c r="D9" s="18" t="inlineStr">
        <is>
          <t>Media de Y</t>
        </is>
      </c>
      <c r="E9" s="24">
        <f>IFERROR(AVERAGE($B$7:$B$506),"")</f>
        <v/>
      </c>
    </row>
    <row r="10">
      <c r="A10" s="19" t="n"/>
      <c r="B10" s="19" t="n"/>
      <c r="D10" s="18" t="inlineStr">
        <is>
          <t>Varianza de X</t>
        </is>
      </c>
      <c r="E10" s="24">
        <f>IFERROR(_xlfn.VAR.P($A$7:$A$506),"")</f>
        <v/>
      </c>
    </row>
    <row r="11">
      <c r="A11" s="19" t="n"/>
      <c r="B11" s="19" t="n"/>
      <c r="D11" s="18" t="inlineStr">
        <is>
          <t>Varianza de Y</t>
        </is>
      </c>
      <c r="E11" s="24">
        <f>IFERROR(_xlfn.VAR.P($B$7:$B$506),"")</f>
        <v/>
      </c>
    </row>
    <row r="12">
      <c r="A12" s="19" t="n"/>
      <c r="B12" s="19" t="n"/>
      <c r="D12" s="18" t="inlineStr">
        <is>
          <t>Covarianza</t>
        </is>
      </c>
      <c r="E12" s="24">
        <f>IFERROR(_xlfn.COVARIANCE.P($A$7:$A$506,$B$7:$B$506),"")</f>
        <v/>
      </c>
    </row>
    <row r="13">
      <c r="A13" s="19" t="n"/>
      <c r="B13" s="19" t="n"/>
      <c r="D13" s="18" t="inlineStr">
        <is>
          <t>Pendiente b (Y sobre X)</t>
        </is>
      </c>
      <c r="E13" s="24">
        <f>IFERROR(SLOPE($B$7:$B$506,$A$7:$A$506),"")</f>
        <v/>
      </c>
      <c r="F13" s="25" t="inlineStr">
        <is>
          <t>Por cada unidad más de X, Y cambia b unidades de media</t>
        </is>
      </c>
    </row>
    <row r="14">
      <c r="A14" s="19" t="n"/>
      <c r="B14" s="19" t="n"/>
      <c r="D14" s="18" t="inlineStr">
        <is>
          <t>Término independiente a</t>
        </is>
      </c>
      <c r="E14" s="24">
        <f>IFERROR(INTERCEPT($B$7:$B$506,$A$7:$A$506),"")</f>
        <v/>
      </c>
    </row>
    <row r="15">
      <c r="A15" s="19" t="n"/>
      <c r="B15" s="19" t="n"/>
      <c r="D15" s="18" t="inlineStr">
        <is>
          <t>Correlación r</t>
        </is>
      </c>
      <c r="E15" s="24">
        <f>IFERROR(CORREL($A$7:$A$506,$B$7:$B$506),"")</f>
        <v/>
      </c>
    </row>
    <row r="16">
      <c r="A16" s="19" t="n"/>
      <c r="B16" s="19" t="n"/>
      <c r="D16" s="18" t="inlineStr">
        <is>
          <t>R²</t>
        </is>
      </c>
      <c r="E16" s="24">
        <f>IFERROR(RSQ($B$7:$B$506,$A$7:$A$506),"")</f>
        <v/>
      </c>
    </row>
    <row r="17">
      <c r="A17" s="19" t="n"/>
      <c r="B17" s="19" t="n"/>
      <c r="D17" s="18" t="inlineStr">
        <is>
          <t>1 − R² (no explicado)</t>
        </is>
      </c>
      <c r="E17" s="24">
        <f>IFERROR(1-E16,"")</f>
        <v/>
      </c>
    </row>
    <row r="18">
      <c r="A18" s="19" t="n"/>
      <c r="B18" s="19" t="n"/>
      <c r="D18" s="18" t="inlineStr">
        <is>
          <t>Predicción de Y para X (E5)</t>
        </is>
      </c>
      <c r="E18" s="24">
        <f>IFERROR(_xlfn.FORECAST.LINEAR(E5,$B$7:$B$506,$A$7:$A$506),"")</f>
        <v/>
      </c>
    </row>
    <row r="19">
      <c r="A19" s="19" t="n"/>
      <c r="B19" s="19" t="n"/>
      <c r="D19" s="18" t="inlineStr">
        <is>
          <t>Pendiente b' (X sobre Y)</t>
        </is>
      </c>
      <c r="E19" s="24">
        <f>IFERROR(SLOPE($A$7:$A$506,$B$7:$B$506),"")</f>
        <v/>
      </c>
    </row>
    <row r="20">
      <c r="A20" s="19" t="n"/>
      <c r="B20" s="19" t="n"/>
      <c r="D20" s="18" t="inlineStr">
        <is>
          <t>Término a' (X sobre Y)</t>
        </is>
      </c>
      <c r="E20" s="24">
        <f>IFERROR(INTERCEPT($A$7:$A$506,$B$7:$B$506),"")</f>
        <v/>
      </c>
    </row>
    <row r="21">
      <c r="A21" s="19" t="n"/>
      <c r="B21" s="19" t="n"/>
    </row>
    <row r="22">
      <c r="A22" s="19" t="n"/>
      <c r="B22" s="19" t="n"/>
    </row>
    <row r="23">
      <c r="A23" s="19" t="n"/>
      <c r="B23" s="19" t="n"/>
    </row>
    <row r="24">
      <c r="A24" s="19" t="n"/>
      <c r="B24" s="19" t="n"/>
    </row>
    <row r="25">
      <c r="A25" s="19" t="n"/>
      <c r="B25" s="19" t="n"/>
    </row>
    <row r="26">
      <c r="A26" s="19" t="n"/>
      <c r="B26" s="19" t="n"/>
    </row>
    <row r="27">
      <c r="A27" s="19" t="n"/>
      <c r="B27" s="19" t="n"/>
    </row>
    <row r="28">
      <c r="A28" s="19" t="n"/>
      <c r="B28" s="19" t="n"/>
    </row>
    <row r="29">
      <c r="A29" s="19" t="n"/>
      <c r="B29" s="19" t="n"/>
    </row>
    <row r="30">
      <c r="A30" s="19" t="n"/>
      <c r="B30" s="19" t="n"/>
    </row>
    <row r="31">
      <c r="A31" s="19" t="n"/>
      <c r="B31" s="19" t="n"/>
    </row>
    <row r="32">
      <c r="A32" s="19" t="n"/>
      <c r="B32" s="19" t="n"/>
    </row>
    <row r="33">
      <c r="A33" s="19" t="n"/>
      <c r="B33" s="19" t="n"/>
    </row>
    <row r="34">
      <c r="A34" s="19" t="n"/>
      <c r="B34" s="19" t="n"/>
    </row>
    <row r="35">
      <c r="A35" s="19" t="n"/>
      <c r="B35" s="19" t="n"/>
    </row>
    <row r="36">
      <c r="A36" s="19" t="n"/>
      <c r="B36" s="19" t="n"/>
    </row>
    <row r="37">
      <c r="A37" s="19" t="n"/>
      <c r="B37" s="19" t="n"/>
    </row>
    <row r="38">
      <c r="A38" s="19" t="n"/>
      <c r="B38" s="19" t="n"/>
    </row>
    <row r="39">
      <c r="A39" s="19" t="n"/>
      <c r="B39" s="19" t="n"/>
    </row>
    <row r="40">
      <c r="A40" s="19" t="n"/>
      <c r="B40" s="19" t="n"/>
    </row>
    <row r="41">
      <c r="A41" s="19" t="n"/>
      <c r="B41" s="19" t="n"/>
    </row>
    <row r="42">
      <c r="A42" s="19" t="n"/>
      <c r="B42" s="19" t="n"/>
    </row>
    <row r="43">
      <c r="A43" s="19" t="n"/>
      <c r="B43" s="19" t="n"/>
    </row>
    <row r="44">
      <c r="A44" s="19" t="n"/>
      <c r="B44" s="19" t="n"/>
    </row>
    <row r="45">
      <c r="A45" s="19" t="n"/>
      <c r="B45" s="19" t="n"/>
    </row>
    <row r="46">
      <c r="A46" s="19" t="n"/>
      <c r="B46" s="19" t="n"/>
    </row>
    <row r="47">
      <c r="A47" s="19" t="n"/>
      <c r="B47" s="19" t="n"/>
    </row>
    <row r="48">
      <c r="A48" s="19" t="n"/>
      <c r="B48" s="19" t="n"/>
    </row>
    <row r="49">
      <c r="A49" s="19" t="n"/>
      <c r="B49" s="19" t="n"/>
    </row>
    <row r="50">
      <c r="A50" s="19" t="n"/>
      <c r="B50" s="19" t="n"/>
    </row>
    <row r="51">
      <c r="A51" s="19" t="n"/>
      <c r="B51" s="19" t="n"/>
    </row>
    <row r="52">
      <c r="A52" s="19" t="n"/>
      <c r="B52" s="19" t="n"/>
    </row>
    <row r="53">
      <c r="A53" s="19" t="n"/>
      <c r="B53" s="19" t="n"/>
    </row>
    <row r="54">
      <c r="A54" s="19" t="n"/>
      <c r="B54" s="19" t="n"/>
    </row>
    <row r="55">
      <c r="A55" s="19" t="n"/>
      <c r="B55" s="19" t="n"/>
    </row>
    <row r="56">
      <c r="A56" s="19" t="n"/>
      <c r="B56" s="19" t="n"/>
    </row>
    <row r="57">
      <c r="A57" s="19" t="n"/>
      <c r="B57" s="19" t="n"/>
    </row>
    <row r="58">
      <c r="A58" s="19" t="n"/>
      <c r="B58" s="19" t="n"/>
    </row>
    <row r="59">
      <c r="A59" s="19" t="n"/>
      <c r="B59" s="19" t="n"/>
    </row>
    <row r="60">
      <c r="A60" s="19" t="n"/>
      <c r="B60" s="19" t="n"/>
    </row>
    <row r="61">
      <c r="A61" s="19" t="n"/>
      <c r="B61" s="19" t="n"/>
    </row>
    <row r="62">
      <c r="A62" s="19" t="n"/>
      <c r="B62" s="19" t="n"/>
    </row>
    <row r="63">
      <c r="A63" s="19" t="n"/>
      <c r="B63" s="19" t="n"/>
    </row>
    <row r="64">
      <c r="A64" s="19" t="n"/>
      <c r="B64" s="19" t="n"/>
    </row>
    <row r="65">
      <c r="A65" s="19" t="n"/>
      <c r="B65" s="19" t="n"/>
    </row>
    <row r="66">
      <c r="A66" s="19" t="n"/>
      <c r="B66" s="19" t="n"/>
    </row>
    <row r="67">
      <c r="A67" s="19" t="n"/>
      <c r="B67" s="19" t="n"/>
    </row>
    <row r="68">
      <c r="A68" s="19" t="n"/>
      <c r="B68" s="19" t="n"/>
    </row>
    <row r="69">
      <c r="A69" s="19" t="n"/>
      <c r="B69" s="19" t="n"/>
    </row>
    <row r="70">
      <c r="A70" s="19" t="n"/>
      <c r="B70" s="19" t="n"/>
    </row>
    <row r="71">
      <c r="A71" s="19" t="n"/>
      <c r="B71" s="19" t="n"/>
    </row>
    <row r="72">
      <c r="A72" s="19" t="n"/>
      <c r="B72" s="19" t="n"/>
    </row>
    <row r="73">
      <c r="A73" s="19" t="n"/>
      <c r="B73" s="19" t="n"/>
    </row>
    <row r="74">
      <c r="A74" s="19" t="n"/>
      <c r="B74" s="19" t="n"/>
    </row>
    <row r="75">
      <c r="A75" s="19" t="n"/>
      <c r="B75" s="19" t="n"/>
    </row>
    <row r="76">
      <c r="A76" s="19" t="n"/>
      <c r="B76" s="19" t="n"/>
    </row>
    <row r="77">
      <c r="A77" s="19" t="n"/>
      <c r="B77" s="19" t="n"/>
    </row>
    <row r="78">
      <c r="A78" s="19" t="n"/>
      <c r="B78" s="19" t="n"/>
    </row>
    <row r="79">
      <c r="A79" s="19" t="n"/>
      <c r="B79" s="19" t="n"/>
    </row>
    <row r="80">
      <c r="A80" s="19" t="n"/>
      <c r="B80" s="19" t="n"/>
    </row>
    <row r="81">
      <c r="A81" s="19" t="n"/>
      <c r="B81" s="19" t="n"/>
    </row>
    <row r="82">
      <c r="A82" s="19" t="n"/>
      <c r="B82" s="19" t="n"/>
    </row>
    <row r="83">
      <c r="A83" s="19" t="n"/>
      <c r="B83" s="19" t="n"/>
    </row>
    <row r="84">
      <c r="A84" s="19" t="n"/>
      <c r="B84" s="19" t="n"/>
    </row>
    <row r="85">
      <c r="A85" s="19" t="n"/>
      <c r="B85" s="19" t="n"/>
    </row>
    <row r="86">
      <c r="A86" s="19" t="n"/>
      <c r="B86" s="19" t="n"/>
    </row>
    <row r="87">
      <c r="A87" s="19" t="n"/>
      <c r="B87" s="19" t="n"/>
    </row>
    <row r="88">
      <c r="A88" s="19" t="n"/>
      <c r="B88" s="19" t="n"/>
    </row>
    <row r="89">
      <c r="A89" s="19" t="n"/>
      <c r="B89" s="19" t="n"/>
    </row>
    <row r="90">
      <c r="A90" s="19" t="n"/>
      <c r="B90" s="19" t="n"/>
    </row>
    <row r="91">
      <c r="A91" s="19" t="n"/>
      <c r="B91" s="19" t="n"/>
    </row>
    <row r="92">
      <c r="A92" s="19" t="n"/>
      <c r="B92" s="19" t="n"/>
    </row>
    <row r="93">
      <c r="A93" s="19" t="n"/>
      <c r="B93" s="19" t="n"/>
    </row>
    <row r="94">
      <c r="A94" s="19" t="n"/>
      <c r="B94" s="19" t="n"/>
    </row>
    <row r="95">
      <c r="A95" s="19" t="n"/>
      <c r="B95" s="19" t="n"/>
    </row>
    <row r="96">
      <c r="A96" s="19" t="n"/>
      <c r="B96" s="19" t="n"/>
    </row>
    <row r="97">
      <c r="A97" s="19" t="n"/>
      <c r="B97" s="19" t="n"/>
    </row>
    <row r="98">
      <c r="A98" s="19" t="n"/>
      <c r="B98" s="19" t="n"/>
    </row>
    <row r="99">
      <c r="A99" s="19" t="n"/>
      <c r="B99" s="19" t="n"/>
    </row>
    <row r="100">
      <c r="A100" s="19" t="n"/>
      <c r="B100" s="19" t="n"/>
    </row>
    <row r="101">
      <c r="A101" s="19" t="n"/>
      <c r="B101" s="19" t="n"/>
    </row>
    <row r="102">
      <c r="A102" s="19" t="n"/>
      <c r="B102" s="19" t="n"/>
    </row>
    <row r="103">
      <c r="A103" s="19" t="n"/>
      <c r="B103" s="19" t="n"/>
    </row>
    <row r="104">
      <c r="A104" s="19" t="n"/>
      <c r="B104" s="19" t="n"/>
    </row>
    <row r="105">
      <c r="A105" s="19" t="n"/>
      <c r="B105" s="19" t="n"/>
    </row>
    <row r="106">
      <c r="A106" s="19" t="n"/>
      <c r="B106" s="19" t="n"/>
    </row>
    <row r="107">
      <c r="A107" s="19" t="n"/>
      <c r="B107" s="19" t="n"/>
    </row>
    <row r="108">
      <c r="A108" s="19" t="n"/>
      <c r="B108" s="19" t="n"/>
    </row>
    <row r="109">
      <c r="A109" s="19" t="n"/>
      <c r="B109" s="19" t="n"/>
    </row>
    <row r="110">
      <c r="A110" s="19" t="n"/>
      <c r="B110" s="19" t="n"/>
    </row>
    <row r="111">
      <c r="A111" s="19" t="n"/>
      <c r="B111" s="19" t="n"/>
    </row>
    <row r="112">
      <c r="A112" s="19" t="n"/>
      <c r="B112" s="19" t="n"/>
    </row>
    <row r="113">
      <c r="A113" s="19" t="n"/>
      <c r="B113" s="19" t="n"/>
    </row>
    <row r="114">
      <c r="A114" s="19" t="n"/>
      <c r="B114" s="19" t="n"/>
    </row>
    <row r="115">
      <c r="A115" s="19" t="n"/>
      <c r="B115" s="19" t="n"/>
    </row>
    <row r="116">
      <c r="A116" s="19" t="n"/>
      <c r="B116" s="19" t="n"/>
    </row>
    <row r="117">
      <c r="A117" s="19" t="n"/>
      <c r="B117" s="19" t="n"/>
    </row>
    <row r="118">
      <c r="A118" s="19" t="n"/>
      <c r="B118" s="19" t="n"/>
    </row>
    <row r="119">
      <c r="A119" s="19" t="n"/>
      <c r="B119" s="19" t="n"/>
    </row>
    <row r="120">
      <c r="A120" s="19" t="n"/>
      <c r="B120" s="19" t="n"/>
    </row>
    <row r="121">
      <c r="A121" s="19" t="n"/>
      <c r="B121" s="19" t="n"/>
    </row>
    <row r="122">
      <c r="A122" s="19" t="n"/>
      <c r="B122" s="19" t="n"/>
    </row>
    <row r="123">
      <c r="A123" s="19" t="n"/>
      <c r="B123" s="19" t="n"/>
    </row>
    <row r="124">
      <c r="A124" s="19" t="n"/>
      <c r="B124" s="19" t="n"/>
    </row>
    <row r="125">
      <c r="A125" s="19" t="n"/>
      <c r="B125" s="19" t="n"/>
    </row>
    <row r="126">
      <c r="A126" s="19" t="n"/>
      <c r="B126" s="19" t="n"/>
    </row>
    <row r="127">
      <c r="A127" s="19" t="n"/>
      <c r="B127" s="19" t="n"/>
    </row>
    <row r="128">
      <c r="A128" s="19" t="n"/>
      <c r="B128" s="19" t="n"/>
    </row>
    <row r="129">
      <c r="A129" s="19" t="n"/>
      <c r="B129" s="19" t="n"/>
    </row>
    <row r="130">
      <c r="A130" s="19" t="n"/>
      <c r="B130" s="19" t="n"/>
    </row>
    <row r="131">
      <c r="A131" s="19" t="n"/>
      <c r="B131" s="19" t="n"/>
    </row>
    <row r="132">
      <c r="A132" s="19" t="n"/>
      <c r="B132" s="19" t="n"/>
    </row>
    <row r="133">
      <c r="A133" s="19" t="n"/>
      <c r="B133" s="19" t="n"/>
    </row>
    <row r="134">
      <c r="A134" s="19" t="n"/>
      <c r="B134" s="19" t="n"/>
    </row>
    <row r="135">
      <c r="A135" s="19" t="n"/>
      <c r="B135" s="19" t="n"/>
    </row>
    <row r="136">
      <c r="A136" s="19" t="n"/>
      <c r="B136" s="19" t="n"/>
    </row>
    <row r="137">
      <c r="A137" s="19" t="n"/>
      <c r="B137" s="19" t="n"/>
    </row>
    <row r="138">
      <c r="A138" s="19" t="n"/>
      <c r="B138" s="19" t="n"/>
    </row>
    <row r="139">
      <c r="A139" s="19" t="n"/>
      <c r="B139" s="19" t="n"/>
    </row>
    <row r="140">
      <c r="A140" s="19" t="n"/>
      <c r="B140" s="19" t="n"/>
    </row>
    <row r="141">
      <c r="A141" s="19" t="n"/>
      <c r="B141" s="19" t="n"/>
    </row>
    <row r="142">
      <c r="A142" s="19" t="n"/>
      <c r="B142" s="19" t="n"/>
    </row>
    <row r="143">
      <c r="A143" s="19" t="n"/>
      <c r="B143" s="19" t="n"/>
    </row>
    <row r="144">
      <c r="A144" s="19" t="n"/>
      <c r="B144" s="19" t="n"/>
    </row>
    <row r="145">
      <c r="A145" s="19" t="n"/>
      <c r="B145" s="19" t="n"/>
    </row>
    <row r="146">
      <c r="A146" s="19" t="n"/>
      <c r="B146" s="19" t="n"/>
    </row>
    <row r="147">
      <c r="A147" s="19" t="n"/>
      <c r="B147" s="19" t="n"/>
    </row>
    <row r="148">
      <c r="A148" s="19" t="n"/>
      <c r="B148" s="19" t="n"/>
    </row>
    <row r="149">
      <c r="A149" s="19" t="n"/>
      <c r="B149" s="19" t="n"/>
    </row>
    <row r="150">
      <c r="A150" s="19" t="n"/>
      <c r="B150" s="19" t="n"/>
    </row>
    <row r="151">
      <c r="A151" s="19" t="n"/>
      <c r="B151" s="19" t="n"/>
    </row>
    <row r="152">
      <c r="A152" s="19" t="n"/>
      <c r="B152" s="19" t="n"/>
    </row>
    <row r="153">
      <c r="A153" s="19" t="n"/>
      <c r="B153" s="19" t="n"/>
    </row>
    <row r="154">
      <c r="A154" s="19" t="n"/>
      <c r="B154" s="19" t="n"/>
    </row>
    <row r="155">
      <c r="A155" s="19" t="n"/>
      <c r="B155" s="19" t="n"/>
    </row>
    <row r="156">
      <c r="A156" s="19" t="n"/>
      <c r="B156" s="19" t="n"/>
    </row>
    <row r="157">
      <c r="A157" s="19" t="n"/>
      <c r="B157" s="19" t="n"/>
    </row>
    <row r="158">
      <c r="A158" s="19" t="n"/>
      <c r="B158" s="19" t="n"/>
    </row>
    <row r="159">
      <c r="A159" s="19" t="n"/>
      <c r="B159" s="19" t="n"/>
    </row>
    <row r="160">
      <c r="A160" s="19" t="n"/>
      <c r="B160" s="19" t="n"/>
    </row>
    <row r="161">
      <c r="A161" s="19" t="n"/>
      <c r="B161" s="19" t="n"/>
    </row>
    <row r="162">
      <c r="A162" s="19" t="n"/>
      <c r="B162" s="19" t="n"/>
    </row>
    <row r="163">
      <c r="A163" s="19" t="n"/>
      <c r="B163" s="19" t="n"/>
    </row>
    <row r="164">
      <c r="A164" s="19" t="n"/>
      <c r="B164" s="19" t="n"/>
    </row>
    <row r="165">
      <c r="A165" s="19" t="n"/>
      <c r="B165" s="19" t="n"/>
    </row>
    <row r="166">
      <c r="A166" s="19" t="n"/>
      <c r="B166" s="19" t="n"/>
    </row>
    <row r="167">
      <c r="A167" s="19" t="n"/>
      <c r="B167" s="19" t="n"/>
    </row>
    <row r="168">
      <c r="A168" s="19" t="n"/>
      <c r="B168" s="19" t="n"/>
    </row>
    <row r="169">
      <c r="A169" s="19" t="n"/>
      <c r="B169" s="19" t="n"/>
    </row>
    <row r="170">
      <c r="A170" s="19" t="n"/>
      <c r="B170" s="19" t="n"/>
    </row>
    <row r="171">
      <c r="A171" s="19" t="n"/>
      <c r="B171" s="19" t="n"/>
    </row>
    <row r="172">
      <c r="A172" s="19" t="n"/>
      <c r="B172" s="19" t="n"/>
    </row>
    <row r="173">
      <c r="A173" s="19" t="n"/>
      <c r="B173" s="19" t="n"/>
    </row>
    <row r="174">
      <c r="A174" s="19" t="n"/>
      <c r="B174" s="19" t="n"/>
    </row>
    <row r="175">
      <c r="A175" s="19" t="n"/>
      <c r="B175" s="19" t="n"/>
    </row>
    <row r="176">
      <c r="A176" s="19" t="n"/>
      <c r="B176" s="19" t="n"/>
    </row>
    <row r="177">
      <c r="A177" s="19" t="n"/>
      <c r="B177" s="19" t="n"/>
    </row>
    <row r="178">
      <c r="A178" s="19" t="n"/>
      <c r="B178" s="19" t="n"/>
    </row>
    <row r="179">
      <c r="A179" s="19" t="n"/>
      <c r="B179" s="19" t="n"/>
    </row>
    <row r="180">
      <c r="A180" s="19" t="n"/>
      <c r="B180" s="19" t="n"/>
    </row>
    <row r="181">
      <c r="A181" s="19" t="n"/>
      <c r="B181" s="19" t="n"/>
    </row>
    <row r="182">
      <c r="A182" s="19" t="n"/>
      <c r="B182" s="19" t="n"/>
    </row>
    <row r="183">
      <c r="A183" s="19" t="n"/>
      <c r="B183" s="19" t="n"/>
    </row>
    <row r="184">
      <c r="A184" s="19" t="n"/>
      <c r="B184" s="19" t="n"/>
    </row>
    <row r="185">
      <c r="A185" s="19" t="n"/>
      <c r="B185" s="19" t="n"/>
    </row>
    <row r="186">
      <c r="A186" s="19" t="n"/>
      <c r="B186" s="19" t="n"/>
    </row>
    <row r="187">
      <c r="A187" s="19" t="n"/>
      <c r="B187" s="19" t="n"/>
    </row>
    <row r="188">
      <c r="A188" s="19" t="n"/>
      <c r="B188" s="19" t="n"/>
    </row>
    <row r="189">
      <c r="A189" s="19" t="n"/>
      <c r="B189" s="19" t="n"/>
    </row>
    <row r="190">
      <c r="A190" s="19" t="n"/>
      <c r="B190" s="19" t="n"/>
    </row>
    <row r="191">
      <c r="A191" s="19" t="n"/>
      <c r="B191" s="19" t="n"/>
    </row>
    <row r="192">
      <c r="A192" s="19" t="n"/>
      <c r="B192" s="19" t="n"/>
    </row>
    <row r="193">
      <c r="A193" s="19" t="n"/>
      <c r="B193" s="19" t="n"/>
    </row>
    <row r="194">
      <c r="A194" s="19" t="n"/>
      <c r="B194" s="19" t="n"/>
    </row>
    <row r="195">
      <c r="A195" s="19" t="n"/>
      <c r="B195" s="19" t="n"/>
    </row>
    <row r="196">
      <c r="A196" s="19" t="n"/>
      <c r="B196" s="19" t="n"/>
    </row>
    <row r="197">
      <c r="A197" s="19" t="n"/>
      <c r="B197" s="19" t="n"/>
    </row>
    <row r="198">
      <c r="A198" s="19" t="n"/>
      <c r="B198" s="19" t="n"/>
    </row>
    <row r="199">
      <c r="A199" s="19" t="n"/>
      <c r="B199" s="19" t="n"/>
    </row>
    <row r="200">
      <c r="A200" s="19" t="n"/>
      <c r="B200" s="19" t="n"/>
    </row>
    <row r="201">
      <c r="A201" s="19" t="n"/>
      <c r="B201" s="19" t="n"/>
    </row>
    <row r="202">
      <c r="A202" s="19" t="n"/>
      <c r="B202" s="19" t="n"/>
    </row>
    <row r="203">
      <c r="A203" s="19" t="n"/>
      <c r="B203" s="19" t="n"/>
    </row>
    <row r="204">
      <c r="A204" s="19" t="n"/>
      <c r="B204" s="19" t="n"/>
    </row>
    <row r="205">
      <c r="A205" s="19" t="n"/>
      <c r="B205" s="19" t="n"/>
    </row>
    <row r="206">
      <c r="A206" s="19" t="n"/>
      <c r="B206" s="19" t="n"/>
    </row>
    <row r="207">
      <c r="A207" s="19" t="n"/>
      <c r="B207" s="19" t="n"/>
    </row>
    <row r="208">
      <c r="A208" s="19" t="n"/>
      <c r="B208" s="19" t="n"/>
    </row>
    <row r="209">
      <c r="A209" s="19" t="n"/>
      <c r="B209" s="19" t="n"/>
    </row>
    <row r="210">
      <c r="A210" s="19" t="n"/>
      <c r="B210" s="19" t="n"/>
    </row>
    <row r="211">
      <c r="A211" s="19" t="n"/>
      <c r="B211" s="19" t="n"/>
    </row>
    <row r="212">
      <c r="A212" s="19" t="n"/>
      <c r="B212" s="19" t="n"/>
    </row>
    <row r="213">
      <c r="A213" s="19" t="n"/>
      <c r="B213" s="19" t="n"/>
    </row>
    <row r="214">
      <c r="A214" s="19" t="n"/>
      <c r="B214" s="19" t="n"/>
    </row>
    <row r="215">
      <c r="A215" s="19" t="n"/>
      <c r="B215" s="19" t="n"/>
    </row>
    <row r="216">
      <c r="A216" s="19" t="n"/>
      <c r="B216" s="19" t="n"/>
    </row>
    <row r="217">
      <c r="A217" s="19" t="n"/>
      <c r="B217" s="19" t="n"/>
    </row>
    <row r="218">
      <c r="A218" s="19" t="n"/>
      <c r="B218" s="19" t="n"/>
    </row>
    <row r="219">
      <c r="A219" s="19" t="n"/>
      <c r="B219" s="19" t="n"/>
    </row>
    <row r="220">
      <c r="A220" s="19" t="n"/>
      <c r="B220" s="19" t="n"/>
    </row>
    <row r="221">
      <c r="A221" s="19" t="n"/>
      <c r="B221" s="19" t="n"/>
    </row>
    <row r="222">
      <c r="A222" s="19" t="n"/>
      <c r="B222" s="19" t="n"/>
    </row>
    <row r="223">
      <c r="A223" s="19" t="n"/>
      <c r="B223" s="19" t="n"/>
    </row>
    <row r="224">
      <c r="A224" s="19" t="n"/>
      <c r="B224" s="19" t="n"/>
    </row>
    <row r="225">
      <c r="A225" s="19" t="n"/>
      <c r="B225" s="19" t="n"/>
    </row>
    <row r="226">
      <c r="A226" s="19" t="n"/>
      <c r="B226" s="19" t="n"/>
    </row>
    <row r="227">
      <c r="A227" s="19" t="n"/>
      <c r="B227" s="19" t="n"/>
    </row>
    <row r="228">
      <c r="A228" s="19" t="n"/>
      <c r="B228" s="19" t="n"/>
    </row>
    <row r="229">
      <c r="A229" s="19" t="n"/>
      <c r="B229" s="19" t="n"/>
    </row>
    <row r="230">
      <c r="A230" s="19" t="n"/>
      <c r="B230" s="19" t="n"/>
    </row>
    <row r="231">
      <c r="A231" s="19" t="n"/>
      <c r="B231" s="19" t="n"/>
    </row>
    <row r="232">
      <c r="A232" s="19" t="n"/>
      <c r="B232" s="19" t="n"/>
    </row>
    <row r="233">
      <c r="A233" s="19" t="n"/>
      <c r="B233" s="19" t="n"/>
    </row>
    <row r="234">
      <c r="A234" s="19" t="n"/>
      <c r="B234" s="19" t="n"/>
    </row>
    <row r="235">
      <c r="A235" s="19" t="n"/>
      <c r="B235" s="19" t="n"/>
    </row>
    <row r="236">
      <c r="A236" s="19" t="n"/>
      <c r="B236" s="19" t="n"/>
    </row>
    <row r="237">
      <c r="A237" s="19" t="n"/>
      <c r="B237" s="19" t="n"/>
    </row>
    <row r="238">
      <c r="A238" s="19" t="n"/>
      <c r="B238" s="19" t="n"/>
    </row>
    <row r="239">
      <c r="A239" s="19" t="n"/>
      <c r="B239" s="19" t="n"/>
    </row>
    <row r="240">
      <c r="A240" s="19" t="n"/>
      <c r="B240" s="19" t="n"/>
    </row>
    <row r="241">
      <c r="A241" s="19" t="n"/>
      <c r="B241" s="19" t="n"/>
    </row>
    <row r="242">
      <c r="A242" s="19" t="n"/>
      <c r="B242" s="19" t="n"/>
    </row>
    <row r="243">
      <c r="A243" s="19" t="n"/>
      <c r="B243" s="19" t="n"/>
    </row>
    <row r="244">
      <c r="A244" s="19" t="n"/>
      <c r="B244" s="19" t="n"/>
    </row>
    <row r="245">
      <c r="A245" s="19" t="n"/>
      <c r="B245" s="19" t="n"/>
    </row>
    <row r="246">
      <c r="A246" s="19" t="n"/>
      <c r="B246" s="19" t="n"/>
    </row>
    <row r="247">
      <c r="A247" s="19" t="n"/>
      <c r="B247" s="19" t="n"/>
    </row>
    <row r="248">
      <c r="A248" s="19" t="n"/>
      <c r="B248" s="19" t="n"/>
    </row>
    <row r="249">
      <c r="A249" s="19" t="n"/>
      <c r="B249" s="19" t="n"/>
    </row>
    <row r="250">
      <c r="A250" s="19" t="n"/>
      <c r="B250" s="19" t="n"/>
    </row>
    <row r="251">
      <c r="A251" s="19" t="n"/>
      <c r="B251" s="19" t="n"/>
    </row>
    <row r="252">
      <c r="A252" s="19" t="n"/>
      <c r="B252" s="19" t="n"/>
    </row>
    <row r="253">
      <c r="A253" s="19" t="n"/>
      <c r="B253" s="19" t="n"/>
    </row>
    <row r="254">
      <c r="A254" s="19" t="n"/>
      <c r="B254" s="19" t="n"/>
    </row>
    <row r="255">
      <c r="A255" s="19" t="n"/>
      <c r="B255" s="19" t="n"/>
    </row>
    <row r="256">
      <c r="A256" s="19" t="n"/>
      <c r="B256" s="19" t="n"/>
    </row>
    <row r="257">
      <c r="A257" s="19" t="n"/>
      <c r="B257" s="19" t="n"/>
    </row>
    <row r="258">
      <c r="A258" s="19" t="n"/>
      <c r="B258" s="19" t="n"/>
    </row>
    <row r="259">
      <c r="A259" s="19" t="n"/>
      <c r="B259" s="19" t="n"/>
    </row>
    <row r="260">
      <c r="A260" s="19" t="n"/>
      <c r="B260" s="19" t="n"/>
    </row>
    <row r="261">
      <c r="A261" s="19" t="n"/>
      <c r="B261" s="19" t="n"/>
    </row>
    <row r="262">
      <c r="A262" s="19" t="n"/>
      <c r="B262" s="19" t="n"/>
    </row>
    <row r="263">
      <c r="A263" s="19" t="n"/>
      <c r="B263" s="19" t="n"/>
    </row>
    <row r="264">
      <c r="A264" s="19" t="n"/>
      <c r="B264" s="19" t="n"/>
    </row>
    <row r="265">
      <c r="A265" s="19" t="n"/>
      <c r="B265" s="19" t="n"/>
    </row>
    <row r="266">
      <c r="A266" s="19" t="n"/>
      <c r="B266" s="19" t="n"/>
    </row>
    <row r="267">
      <c r="A267" s="19" t="n"/>
      <c r="B267" s="19" t="n"/>
    </row>
    <row r="268">
      <c r="A268" s="19" t="n"/>
      <c r="B268" s="19" t="n"/>
    </row>
    <row r="269">
      <c r="A269" s="19" t="n"/>
      <c r="B269" s="19" t="n"/>
    </row>
    <row r="270">
      <c r="A270" s="19" t="n"/>
      <c r="B270" s="19" t="n"/>
    </row>
    <row r="271">
      <c r="A271" s="19" t="n"/>
      <c r="B271" s="19" t="n"/>
    </row>
    <row r="272">
      <c r="A272" s="19" t="n"/>
      <c r="B272" s="19" t="n"/>
    </row>
    <row r="273">
      <c r="A273" s="19" t="n"/>
      <c r="B273" s="19" t="n"/>
    </row>
    <row r="274">
      <c r="A274" s="19" t="n"/>
      <c r="B274" s="19" t="n"/>
    </row>
    <row r="275">
      <c r="A275" s="19" t="n"/>
      <c r="B275" s="19" t="n"/>
    </row>
    <row r="276">
      <c r="A276" s="19" t="n"/>
      <c r="B276" s="19" t="n"/>
    </row>
    <row r="277">
      <c r="A277" s="19" t="n"/>
      <c r="B277" s="19" t="n"/>
    </row>
    <row r="278">
      <c r="A278" s="19" t="n"/>
      <c r="B278" s="19" t="n"/>
    </row>
    <row r="279">
      <c r="A279" s="19" t="n"/>
      <c r="B279" s="19" t="n"/>
    </row>
    <row r="280">
      <c r="A280" s="19" t="n"/>
      <c r="B280" s="19" t="n"/>
    </row>
    <row r="281">
      <c r="A281" s="19" t="n"/>
      <c r="B281" s="19" t="n"/>
    </row>
    <row r="282">
      <c r="A282" s="19" t="n"/>
      <c r="B282" s="19" t="n"/>
    </row>
    <row r="283">
      <c r="A283" s="19" t="n"/>
      <c r="B283" s="19" t="n"/>
    </row>
    <row r="284">
      <c r="A284" s="19" t="n"/>
      <c r="B284" s="19" t="n"/>
    </row>
    <row r="285">
      <c r="A285" s="19" t="n"/>
      <c r="B285" s="19" t="n"/>
    </row>
    <row r="286">
      <c r="A286" s="19" t="n"/>
      <c r="B286" s="19" t="n"/>
    </row>
    <row r="287">
      <c r="A287" s="19" t="n"/>
      <c r="B287" s="19" t="n"/>
    </row>
    <row r="288">
      <c r="A288" s="19" t="n"/>
      <c r="B288" s="19" t="n"/>
    </row>
    <row r="289">
      <c r="A289" s="19" t="n"/>
      <c r="B289" s="19" t="n"/>
    </row>
    <row r="290">
      <c r="A290" s="19" t="n"/>
      <c r="B290" s="19" t="n"/>
    </row>
    <row r="291">
      <c r="A291" s="19" t="n"/>
      <c r="B291" s="19" t="n"/>
    </row>
    <row r="292">
      <c r="A292" s="19" t="n"/>
      <c r="B292" s="19" t="n"/>
    </row>
    <row r="293">
      <c r="A293" s="19" t="n"/>
      <c r="B293" s="19" t="n"/>
    </row>
    <row r="294">
      <c r="A294" s="19" t="n"/>
      <c r="B294" s="19" t="n"/>
    </row>
    <row r="295">
      <c r="A295" s="19" t="n"/>
      <c r="B295" s="19" t="n"/>
    </row>
    <row r="296">
      <c r="A296" s="19" t="n"/>
      <c r="B296" s="19" t="n"/>
    </row>
    <row r="297">
      <c r="A297" s="19" t="n"/>
      <c r="B297" s="19" t="n"/>
    </row>
    <row r="298">
      <c r="A298" s="19" t="n"/>
      <c r="B298" s="19" t="n"/>
    </row>
    <row r="299">
      <c r="A299" s="19" t="n"/>
      <c r="B299" s="19" t="n"/>
    </row>
    <row r="300">
      <c r="A300" s="19" t="n"/>
      <c r="B300" s="19" t="n"/>
    </row>
    <row r="301">
      <c r="A301" s="19" t="n"/>
      <c r="B301" s="19" t="n"/>
    </row>
    <row r="302">
      <c r="A302" s="19" t="n"/>
      <c r="B302" s="19" t="n"/>
    </row>
    <row r="303">
      <c r="A303" s="19" t="n"/>
      <c r="B303" s="19" t="n"/>
    </row>
    <row r="304">
      <c r="A304" s="19" t="n"/>
      <c r="B304" s="19" t="n"/>
    </row>
    <row r="305">
      <c r="A305" s="19" t="n"/>
      <c r="B305" s="19" t="n"/>
    </row>
    <row r="306">
      <c r="A306" s="19" t="n"/>
      <c r="B306" s="19" t="n"/>
    </row>
    <row r="307">
      <c r="A307" s="19" t="n"/>
      <c r="B307" s="19" t="n"/>
    </row>
    <row r="308">
      <c r="A308" s="19" t="n"/>
      <c r="B308" s="19" t="n"/>
    </row>
    <row r="309">
      <c r="A309" s="19" t="n"/>
      <c r="B309" s="19" t="n"/>
    </row>
    <row r="310">
      <c r="A310" s="19" t="n"/>
      <c r="B310" s="19" t="n"/>
    </row>
    <row r="311">
      <c r="A311" s="19" t="n"/>
      <c r="B311" s="19" t="n"/>
    </row>
    <row r="312">
      <c r="A312" s="19" t="n"/>
      <c r="B312" s="19" t="n"/>
    </row>
    <row r="313">
      <c r="A313" s="19" t="n"/>
      <c r="B313" s="19" t="n"/>
    </row>
    <row r="314">
      <c r="A314" s="19" t="n"/>
      <c r="B314" s="19" t="n"/>
    </row>
    <row r="315">
      <c r="A315" s="19" t="n"/>
      <c r="B315" s="19" t="n"/>
    </row>
    <row r="316">
      <c r="A316" s="19" t="n"/>
      <c r="B316" s="19" t="n"/>
    </row>
    <row r="317">
      <c r="A317" s="19" t="n"/>
      <c r="B317" s="19" t="n"/>
    </row>
    <row r="318">
      <c r="A318" s="19" t="n"/>
      <c r="B318" s="19" t="n"/>
    </row>
    <row r="319">
      <c r="A319" s="19" t="n"/>
      <c r="B319" s="19" t="n"/>
    </row>
    <row r="320">
      <c r="A320" s="19" t="n"/>
      <c r="B320" s="19" t="n"/>
    </row>
    <row r="321">
      <c r="A321" s="19" t="n"/>
      <c r="B321" s="19" t="n"/>
    </row>
    <row r="322">
      <c r="A322" s="19" t="n"/>
      <c r="B322" s="19" t="n"/>
    </row>
    <row r="323">
      <c r="A323" s="19" t="n"/>
      <c r="B323" s="19" t="n"/>
    </row>
    <row r="324">
      <c r="A324" s="19" t="n"/>
      <c r="B324" s="19" t="n"/>
    </row>
    <row r="325">
      <c r="A325" s="19" t="n"/>
      <c r="B325" s="19" t="n"/>
    </row>
    <row r="326">
      <c r="A326" s="19" t="n"/>
      <c r="B326" s="19" t="n"/>
    </row>
    <row r="327">
      <c r="A327" s="19" t="n"/>
      <c r="B327" s="19" t="n"/>
    </row>
    <row r="328">
      <c r="A328" s="19" t="n"/>
      <c r="B328" s="19" t="n"/>
    </row>
    <row r="329">
      <c r="A329" s="19" t="n"/>
      <c r="B329" s="19" t="n"/>
    </row>
    <row r="330">
      <c r="A330" s="19" t="n"/>
      <c r="B330" s="19" t="n"/>
    </row>
    <row r="331">
      <c r="A331" s="19" t="n"/>
      <c r="B331" s="19" t="n"/>
    </row>
    <row r="332">
      <c r="A332" s="19" t="n"/>
      <c r="B332" s="19" t="n"/>
    </row>
    <row r="333">
      <c r="A333" s="19" t="n"/>
      <c r="B333" s="19" t="n"/>
    </row>
    <row r="334">
      <c r="A334" s="19" t="n"/>
      <c r="B334" s="19" t="n"/>
    </row>
    <row r="335">
      <c r="A335" s="19" t="n"/>
      <c r="B335" s="19" t="n"/>
    </row>
    <row r="336">
      <c r="A336" s="19" t="n"/>
      <c r="B336" s="19" t="n"/>
    </row>
    <row r="337">
      <c r="A337" s="19" t="n"/>
      <c r="B337" s="19" t="n"/>
    </row>
    <row r="338">
      <c r="A338" s="19" t="n"/>
      <c r="B338" s="19" t="n"/>
    </row>
    <row r="339">
      <c r="A339" s="19" t="n"/>
      <c r="B339" s="19" t="n"/>
    </row>
    <row r="340">
      <c r="A340" s="19" t="n"/>
      <c r="B340" s="19" t="n"/>
    </row>
    <row r="341">
      <c r="A341" s="19" t="n"/>
      <c r="B341" s="19" t="n"/>
    </row>
    <row r="342">
      <c r="A342" s="19" t="n"/>
      <c r="B342" s="19" t="n"/>
    </row>
    <row r="343">
      <c r="A343" s="19" t="n"/>
      <c r="B343" s="19" t="n"/>
    </row>
    <row r="344">
      <c r="A344" s="19" t="n"/>
      <c r="B344" s="19" t="n"/>
    </row>
    <row r="345">
      <c r="A345" s="19" t="n"/>
      <c r="B345" s="19" t="n"/>
    </row>
    <row r="346">
      <c r="A346" s="19" t="n"/>
      <c r="B346" s="19" t="n"/>
    </row>
    <row r="347">
      <c r="A347" s="19" t="n"/>
      <c r="B347" s="19" t="n"/>
    </row>
    <row r="348">
      <c r="A348" s="19" t="n"/>
      <c r="B348" s="19" t="n"/>
    </row>
    <row r="349">
      <c r="A349" s="19" t="n"/>
      <c r="B349" s="19" t="n"/>
    </row>
    <row r="350">
      <c r="A350" s="19" t="n"/>
      <c r="B350" s="19" t="n"/>
    </row>
    <row r="351">
      <c r="A351" s="19" t="n"/>
      <c r="B351" s="19" t="n"/>
    </row>
    <row r="352">
      <c r="A352" s="19" t="n"/>
      <c r="B352" s="19" t="n"/>
    </row>
    <row r="353">
      <c r="A353" s="19" t="n"/>
      <c r="B353" s="19" t="n"/>
    </row>
    <row r="354">
      <c r="A354" s="19" t="n"/>
      <c r="B354" s="19" t="n"/>
    </row>
    <row r="355">
      <c r="A355" s="19" t="n"/>
      <c r="B355" s="19" t="n"/>
    </row>
    <row r="356">
      <c r="A356" s="19" t="n"/>
      <c r="B356" s="19" t="n"/>
    </row>
    <row r="357">
      <c r="A357" s="19" t="n"/>
      <c r="B357" s="19" t="n"/>
    </row>
    <row r="358">
      <c r="A358" s="19" t="n"/>
      <c r="B358" s="19" t="n"/>
    </row>
    <row r="359">
      <c r="A359" s="19" t="n"/>
      <c r="B359" s="19" t="n"/>
    </row>
    <row r="360">
      <c r="A360" s="19" t="n"/>
      <c r="B360" s="19" t="n"/>
    </row>
    <row r="361">
      <c r="A361" s="19" t="n"/>
      <c r="B361" s="19" t="n"/>
    </row>
    <row r="362">
      <c r="A362" s="19" t="n"/>
      <c r="B362" s="19" t="n"/>
    </row>
    <row r="363">
      <c r="A363" s="19" t="n"/>
      <c r="B363" s="19" t="n"/>
    </row>
    <row r="364">
      <c r="A364" s="19" t="n"/>
      <c r="B364" s="19" t="n"/>
    </row>
    <row r="365">
      <c r="A365" s="19" t="n"/>
      <c r="B365" s="19" t="n"/>
    </row>
    <row r="366">
      <c r="A366" s="19" t="n"/>
      <c r="B366" s="19" t="n"/>
    </row>
    <row r="367">
      <c r="A367" s="19" t="n"/>
      <c r="B367" s="19" t="n"/>
    </row>
    <row r="368">
      <c r="A368" s="19" t="n"/>
      <c r="B368" s="19" t="n"/>
    </row>
    <row r="369">
      <c r="A369" s="19" t="n"/>
      <c r="B369" s="19" t="n"/>
    </row>
    <row r="370">
      <c r="A370" s="19" t="n"/>
      <c r="B370" s="19" t="n"/>
    </row>
    <row r="371">
      <c r="A371" s="19" t="n"/>
      <c r="B371" s="19" t="n"/>
    </row>
    <row r="372">
      <c r="A372" s="19" t="n"/>
      <c r="B372" s="19" t="n"/>
    </row>
    <row r="373">
      <c r="A373" s="19" t="n"/>
      <c r="B373" s="19" t="n"/>
    </row>
    <row r="374">
      <c r="A374" s="19" t="n"/>
      <c r="B374" s="19" t="n"/>
    </row>
    <row r="375">
      <c r="A375" s="19" t="n"/>
      <c r="B375" s="19" t="n"/>
    </row>
    <row r="376">
      <c r="A376" s="19" t="n"/>
      <c r="B376" s="19" t="n"/>
    </row>
    <row r="377">
      <c r="A377" s="19" t="n"/>
      <c r="B377" s="19" t="n"/>
    </row>
    <row r="378">
      <c r="A378" s="19" t="n"/>
      <c r="B378" s="19" t="n"/>
    </row>
    <row r="379">
      <c r="A379" s="19" t="n"/>
      <c r="B379" s="19" t="n"/>
    </row>
    <row r="380">
      <c r="A380" s="19" t="n"/>
      <c r="B380" s="19" t="n"/>
    </row>
    <row r="381">
      <c r="A381" s="19" t="n"/>
      <c r="B381" s="19" t="n"/>
    </row>
    <row r="382">
      <c r="A382" s="19" t="n"/>
      <c r="B382" s="19" t="n"/>
    </row>
    <row r="383">
      <c r="A383" s="19" t="n"/>
      <c r="B383" s="19" t="n"/>
    </row>
    <row r="384">
      <c r="A384" s="19" t="n"/>
      <c r="B384" s="19" t="n"/>
    </row>
    <row r="385">
      <c r="A385" s="19" t="n"/>
      <c r="B385" s="19" t="n"/>
    </row>
    <row r="386">
      <c r="A386" s="19" t="n"/>
      <c r="B386" s="19" t="n"/>
    </row>
    <row r="387">
      <c r="A387" s="19" t="n"/>
      <c r="B387" s="19" t="n"/>
    </row>
    <row r="388">
      <c r="A388" s="19" t="n"/>
      <c r="B388" s="19" t="n"/>
    </row>
    <row r="389">
      <c r="A389" s="19" t="n"/>
      <c r="B389" s="19" t="n"/>
    </row>
    <row r="390">
      <c r="A390" s="19" t="n"/>
      <c r="B390" s="19" t="n"/>
    </row>
    <row r="391">
      <c r="A391" s="19" t="n"/>
      <c r="B391" s="19" t="n"/>
    </row>
    <row r="392">
      <c r="A392" s="19" t="n"/>
      <c r="B392" s="19" t="n"/>
    </row>
    <row r="393">
      <c r="A393" s="19" t="n"/>
      <c r="B393" s="19" t="n"/>
    </row>
    <row r="394">
      <c r="A394" s="19" t="n"/>
      <c r="B394" s="19" t="n"/>
    </row>
    <row r="395">
      <c r="A395" s="19" t="n"/>
      <c r="B395" s="19" t="n"/>
    </row>
    <row r="396">
      <c r="A396" s="19" t="n"/>
      <c r="B396" s="19" t="n"/>
    </row>
    <row r="397">
      <c r="A397" s="19" t="n"/>
      <c r="B397" s="19" t="n"/>
    </row>
    <row r="398">
      <c r="A398" s="19" t="n"/>
      <c r="B398" s="19" t="n"/>
    </row>
    <row r="399">
      <c r="A399" s="19" t="n"/>
      <c r="B399" s="19" t="n"/>
    </row>
    <row r="400">
      <c r="A400" s="19" t="n"/>
      <c r="B400" s="19" t="n"/>
    </row>
    <row r="401">
      <c r="A401" s="19" t="n"/>
      <c r="B401" s="19" t="n"/>
    </row>
    <row r="402">
      <c r="A402" s="19" t="n"/>
      <c r="B402" s="19" t="n"/>
    </row>
    <row r="403">
      <c r="A403" s="19" t="n"/>
      <c r="B403" s="19" t="n"/>
    </row>
    <row r="404">
      <c r="A404" s="19" t="n"/>
      <c r="B404" s="19" t="n"/>
    </row>
    <row r="405">
      <c r="A405" s="19" t="n"/>
      <c r="B405" s="19" t="n"/>
    </row>
    <row r="406">
      <c r="A406" s="19" t="n"/>
      <c r="B406" s="19" t="n"/>
    </row>
    <row r="407">
      <c r="A407" s="19" t="n"/>
      <c r="B407" s="19" t="n"/>
    </row>
    <row r="408">
      <c r="A408" s="19" t="n"/>
      <c r="B408" s="19" t="n"/>
    </row>
    <row r="409">
      <c r="A409" s="19" t="n"/>
      <c r="B409" s="19" t="n"/>
    </row>
    <row r="410">
      <c r="A410" s="19" t="n"/>
      <c r="B410" s="19" t="n"/>
    </row>
    <row r="411">
      <c r="A411" s="19" t="n"/>
      <c r="B411" s="19" t="n"/>
    </row>
    <row r="412">
      <c r="A412" s="19" t="n"/>
      <c r="B412" s="19" t="n"/>
    </row>
    <row r="413">
      <c r="A413" s="19" t="n"/>
      <c r="B413" s="19" t="n"/>
    </row>
    <row r="414">
      <c r="A414" s="19" t="n"/>
      <c r="B414" s="19" t="n"/>
    </row>
    <row r="415">
      <c r="A415" s="19" t="n"/>
      <c r="B415" s="19" t="n"/>
    </row>
    <row r="416">
      <c r="A416" s="19" t="n"/>
      <c r="B416" s="19" t="n"/>
    </row>
    <row r="417">
      <c r="A417" s="19" t="n"/>
      <c r="B417" s="19" t="n"/>
    </row>
    <row r="418">
      <c r="A418" s="19" t="n"/>
      <c r="B418" s="19" t="n"/>
    </row>
    <row r="419">
      <c r="A419" s="19" t="n"/>
      <c r="B419" s="19" t="n"/>
    </row>
    <row r="420">
      <c r="A420" s="19" t="n"/>
      <c r="B420" s="19" t="n"/>
    </row>
    <row r="421">
      <c r="A421" s="19" t="n"/>
      <c r="B421" s="19" t="n"/>
    </row>
    <row r="422">
      <c r="A422" s="19" t="n"/>
      <c r="B422" s="19" t="n"/>
    </row>
    <row r="423">
      <c r="A423" s="19" t="n"/>
      <c r="B423" s="19" t="n"/>
    </row>
    <row r="424">
      <c r="A424" s="19" t="n"/>
      <c r="B424" s="19" t="n"/>
    </row>
    <row r="425">
      <c r="A425" s="19" t="n"/>
      <c r="B425" s="19" t="n"/>
    </row>
    <row r="426">
      <c r="A426" s="19" t="n"/>
      <c r="B426" s="19" t="n"/>
    </row>
    <row r="427">
      <c r="A427" s="19" t="n"/>
      <c r="B427" s="19" t="n"/>
    </row>
    <row r="428">
      <c r="A428" s="19" t="n"/>
      <c r="B428" s="19" t="n"/>
    </row>
    <row r="429">
      <c r="A429" s="19" t="n"/>
      <c r="B429" s="19" t="n"/>
    </row>
    <row r="430">
      <c r="A430" s="19" t="n"/>
      <c r="B430" s="19" t="n"/>
    </row>
    <row r="431">
      <c r="A431" s="19" t="n"/>
      <c r="B431" s="19" t="n"/>
    </row>
    <row r="432">
      <c r="A432" s="19" t="n"/>
      <c r="B432" s="19" t="n"/>
    </row>
    <row r="433">
      <c r="A433" s="19" t="n"/>
      <c r="B433" s="19" t="n"/>
    </row>
    <row r="434">
      <c r="A434" s="19" t="n"/>
      <c r="B434" s="19" t="n"/>
    </row>
    <row r="435">
      <c r="A435" s="19" t="n"/>
      <c r="B435" s="19" t="n"/>
    </row>
    <row r="436">
      <c r="A436" s="19" t="n"/>
      <c r="B436" s="19" t="n"/>
    </row>
    <row r="437">
      <c r="A437" s="19" t="n"/>
      <c r="B437" s="19" t="n"/>
    </row>
    <row r="438">
      <c r="A438" s="19" t="n"/>
      <c r="B438" s="19" t="n"/>
    </row>
    <row r="439">
      <c r="A439" s="19" t="n"/>
      <c r="B439" s="19" t="n"/>
    </row>
    <row r="440">
      <c r="A440" s="19" t="n"/>
      <c r="B440" s="19" t="n"/>
    </row>
    <row r="441">
      <c r="A441" s="19" t="n"/>
      <c r="B441" s="19" t="n"/>
    </row>
    <row r="442">
      <c r="A442" s="19" t="n"/>
      <c r="B442" s="19" t="n"/>
    </row>
    <row r="443">
      <c r="A443" s="19" t="n"/>
      <c r="B443" s="19" t="n"/>
    </row>
    <row r="444">
      <c r="A444" s="19" t="n"/>
      <c r="B444" s="19" t="n"/>
    </row>
    <row r="445">
      <c r="A445" s="19" t="n"/>
      <c r="B445" s="19" t="n"/>
    </row>
    <row r="446">
      <c r="A446" s="19" t="n"/>
      <c r="B446" s="19" t="n"/>
    </row>
    <row r="447">
      <c r="A447" s="19" t="n"/>
      <c r="B447" s="19" t="n"/>
    </row>
    <row r="448">
      <c r="A448" s="19" t="n"/>
      <c r="B448" s="19" t="n"/>
    </row>
    <row r="449">
      <c r="A449" s="19" t="n"/>
      <c r="B449" s="19" t="n"/>
    </row>
    <row r="450">
      <c r="A450" s="19" t="n"/>
      <c r="B450" s="19" t="n"/>
    </row>
    <row r="451">
      <c r="A451" s="19" t="n"/>
      <c r="B451" s="19" t="n"/>
    </row>
    <row r="452">
      <c r="A452" s="19" t="n"/>
      <c r="B452" s="19" t="n"/>
    </row>
    <row r="453">
      <c r="A453" s="19" t="n"/>
      <c r="B453" s="19" t="n"/>
    </row>
    <row r="454">
      <c r="A454" s="19" t="n"/>
      <c r="B454" s="19" t="n"/>
    </row>
    <row r="455">
      <c r="A455" s="19" t="n"/>
      <c r="B455" s="19" t="n"/>
    </row>
    <row r="456">
      <c r="A456" s="19" t="n"/>
      <c r="B456" s="19" t="n"/>
    </row>
    <row r="457">
      <c r="A457" s="19" t="n"/>
      <c r="B457" s="19" t="n"/>
    </row>
    <row r="458">
      <c r="A458" s="19" t="n"/>
      <c r="B458" s="19" t="n"/>
    </row>
    <row r="459">
      <c r="A459" s="19" t="n"/>
      <c r="B459" s="19" t="n"/>
    </row>
    <row r="460">
      <c r="A460" s="19" t="n"/>
      <c r="B460" s="19" t="n"/>
    </row>
    <row r="461">
      <c r="A461" s="19" t="n"/>
      <c r="B461" s="19" t="n"/>
    </row>
    <row r="462">
      <c r="A462" s="19" t="n"/>
      <c r="B462" s="19" t="n"/>
    </row>
    <row r="463">
      <c r="A463" s="19" t="n"/>
      <c r="B463" s="19" t="n"/>
    </row>
    <row r="464">
      <c r="A464" s="19" t="n"/>
      <c r="B464" s="19" t="n"/>
    </row>
    <row r="465">
      <c r="A465" s="19" t="n"/>
      <c r="B465" s="19" t="n"/>
    </row>
    <row r="466">
      <c r="A466" s="19" t="n"/>
      <c r="B466" s="19" t="n"/>
    </row>
    <row r="467">
      <c r="A467" s="19" t="n"/>
      <c r="B467" s="19" t="n"/>
    </row>
    <row r="468">
      <c r="A468" s="19" t="n"/>
      <c r="B468" s="19" t="n"/>
    </row>
    <row r="469">
      <c r="A469" s="19" t="n"/>
      <c r="B469" s="19" t="n"/>
    </row>
    <row r="470">
      <c r="A470" s="19" t="n"/>
      <c r="B470" s="19" t="n"/>
    </row>
    <row r="471">
      <c r="A471" s="19" t="n"/>
      <c r="B471" s="19" t="n"/>
    </row>
    <row r="472">
      <c r="A472" s="19" t="n"/>
      <c r="B472" s="19" t="n"/>
    </row>
    <row r="473">
      <c r="A473" s="19" t="n"/>
      <c r="B473" s="19" t="n"/>
    </row>
    <row r="474">
      <c r="A474" s="19" t="n"/>
      <c r="B474" s="19" t="n"/>
    </row>
    <row r="475">
      <c r="A475" s="19" t="n"/>
      <c r="B475" s="19" t="n"/>
    </row>
    <row r="476">
      <c r="A476" s="19" t="n"/>
      <c r="B476" s="19" t="n"/>
    </row>
    <row r="477">
      <c r="A477" s="19" t="n"/>
      <c r="B477" s="19" t="n"/>
    </row>
    <row r="478">
      <c r="A478" s="19" t="n"/>
      <c r="B478" s="19" t="n"/>
    </row>
    <row r="479">
      <c r="A479" s="19" t="n"/>
      <c r="B479" s="19" t="n"/>
    </row>
    <row r="480">
      <c r="A480" s="19" t="n"/>
      <c r="B480" s="19" t="n"/>
    </row>
    <row r="481">
      <c r="A481" s="19" t="n"/>
      <c r="B481" s="19" t="n"/>
    </row>
    <row r="482">
      <c r="A482" s="19" t="n"/>
      <c r="B482" s="19" t="n"/>
    </row>
    <row r="483">
      <c r="A483" s="19" t="n"/>
      <c r="B483" s="19" t="n"/>
    </row>
    <row r="484">
      <c r="A484" s="19" t="n"/>
      <c r="B484" s="19" t="n"/>
    </row>
    <row r="485">
      <c r="A485" s="19" t="n"/>
      <c r="B485" s="19" t="n"/>
    </row>
    <row r="486">
      <c r="A486" s="19" t="n"/>
      <c r="B486" s="19" t="n"/>
    </row>
    <row r="487">
      <c r="A487" s="19" t="n"/>
      <c r="B487" s="19" t="n"/>
    </row>
    <row r="488">
      <c r="A488" s="19" t="n"/>
      <c r="B488" s="19" t="n"/>
    </row>
    <row r="489">
      <c r="A489" s="19" t="n"/>
      <c r="B489" s="19" t="n"/>
    </row>
    <row r="490">
      <c r="A490" s="19" t="n"/>
      <c r="B490" s="19" t="n"/>
    </row>
    <row r="491">
      <c r="A491" s="19" t="n"/>
      <c r="B491" s="19" t="n"/>
    </row>
    <row r="492">
      <c r="A492" s="19" t="n"/>
      <c r="B492" s="19" t="n"/>
    </row>
    <row r="493">
      <c r="A493" s="19" t="n"/>
      <c r="B493" s="19" t="n"/>
    </row>
    <row r="494">
      <c r="A494" s="19" t="n"/>
      <c r="B494" s="19" t="n"/>
    </row>
    <row r="495">
      <c r="A495" s="19" t="n"/>
      <c r="B495" s="19" t="n"/>
    </row>
    <row r="496">
      <c r="A496" s="19" t="n"/>
      <c r="B496" s="19" t="n"/>
    </row>
    <row r="497">
      <c r="A497" s="19" t="n"/>
      <c r="B497" s="19" t="n"/>
    </row>
    <row r="498">
      <c r="A498" s="19" t="n"/>
      <c r="B498" s="19" t="n"/>
    </row>
    <row r="499">
      <c r="A499" s="19" t="n"/>
      <c r="B499" s="19" t="n"/>
    </row>
    <row r="500">
      <c r="A500" s="19" t="n"/>
      <c r="B500" s="19" t="n"/>
    </row>
    <row r="501">
      <c r="A501" s="19" t="n"/>
      <c r="B501" s="19" t="n"/>
    </row>
    <row r="502">
      <c r="A502" s="19" t="n"/>
      <c r="B502" s="19" t="n"/>
    </row>
    <row r="503">
      <c r="A503" s="19" t="n"/>
      <c r="B503" s="19" t="n"/>
    </row>
    <row r="504">
      <c r="A504" s="19" t="n"/>
      <c r="B504" s="19" t="n"/>
    </row>
    <row r="505">
      <c r="A505" s="19" t="n"/>
      <c r="B505" s="19" t="n"/>
    </row>
    <row r="506">
      <c r="A506" s="19" t="n"/>
      <c r="B506" s="1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2185B"/>
    <outlinePr summaryBelow="1" summaryRight="1"/>
    <pageSetUpPr/>
  </sheetPr>
  <dimension ref="A1:H15"/>
  <sheetViews>
    <sheetView zoomScale="115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" customWidth="1" min="3" max="3"/>
    <col width="40" customWidth="1" min="4" max="4"/>
    <col width="16" customWidth="1" min="5" max="5"/>
  </cols>
  <sheetData>
    <row r="1" ht="30" customHeight="1">
      <c r="A1" s="33" t="inlineStr">
        <is>
          <t>H · Regresión a partir de resúmenes</t>
        </is>
      </c>
      <c r="B1" s="34" t="n"/>
      <c r="C1" s="34" t="n"/>
      <c r="D1" s="34" t="n"/>
      <c r="E1" s="34" t="n"/>
      <c r="F1" s="34" t="n"/>
      <c r="G1" s="34" t="n"/>
      <c r="H1" s="34" t="n"/>
    </row>
    <row r="2">
      <c r="A2" s="7" t="inlineStr">
        <is>
          <t>Cuando no te dan los datos sino medias, desviaciones y covarianza (o r).</t>
        </is>
      </c>
    </row>
    <row r="3">
      <c r="A3" s="14" t="inlineStr">
        <is>
          <t>Rellena una opción de cada par (por ejemplo, Sx O Sx²). Si te dan r en vez de Sxy, deja Sxy vacío.</t>
        </is>
      </c>
    </row>
    <row r="4">
      <c r="A4" s="15" t="inlineStr">
        <is>
          <t>Amarillo: escribe o pega aquí tus datos.  Verde: resultados (no los toques).</t>
        </is>
      </c>
    </row>
    <row r="5"/>
    <row r="6">
      <c r="A6" s="18" t="inlineStr">
        <is>
          <t>x̄</t>
        </is>
      </c>
      <c r="B6" s="19" t="n">
        <v>60</v>
      </c>
      <c r="D6" s="18" t="inlineStr">
        <is>
          <t>Sx² usada</t>
        </is>
      </c>
      <c r="E6" s="24">
        <f>IFERROR(IF(B9&lt;&gt;"",B9,B8^2),"")</f>
        <v/>
      </c>
    </row>
    <row r="7">
      <c r="A7" s="18" t="inlineStr">
        <is>
          <t>ȳ</t>
        </is>
      </c>
      <c r="B7" s="19" t="n">
        <v>850</v>
      </c>
      <c r="D7" s="18" t="inlineStr">
        <is>
          <t>Sy² usada</t>
        </is>
      </c>
      <c r="E7" s="24">
        <f>IFERROR(IF(B11&lt;&gt;"",B11,B10^2),"")</f>
        <v/>
      </c>
    </row>
    <row r="8">
      <c r="A8" s="18" t="inlineStr">
        <is>
          <t>Sx (desv. típica de X)</t>
        </is>
      </c>
      <c r="B8" s="19" t="n">
        <v>40</v>
      </c>
      <c r="D8" s="18" t="inlineStr">
        <is>
          <t>Sxy usada</t>
        </is>
      </c>
      <c r="E8" s="24">
        <f>IFERROR(IF(B12&lt;&gt;"",B12,B13*SQRT(E6)*SQRT(E7)),"")</f>
        <v/>
      </c>
    </row>
    <row r="9">
      <c r="A9" s="18" t="inlineStr">
        <is>
          <t>Sx² (varianza de X)</t>
        </is>
      </c>
      <c r="B9" s="19" t="n"/>
      <c r="D9" s="18" t="inlineStr">
        <is>
          <t>Pendiente b = Sxy/Sx²</t>
        </is>
      </c>
      <c r="E9" s="24">
        <f>IFERROR(E8/E6,"")</f>
        <v/>
      </c>
    </row>
    <row r="10">
      <c r="A10" s="18" t="inlineStr">
        <is>
          <t>Sy (desv. típica de Y)</t>
        </is>
      </c>
      <c r="B10" s="19" t="n">
        <v>500</v>
      </c>
      <c r="D10" s="18" t="inlineStr">
        <is>
          <t>a = ȳ − b·x̄</t>
        </is>
      </c>
      <c r="E10" s="24">
        <f>IFERROR(B7-E9*B6,"")</f>
        <v/>
      </c>
    </row>
    <row r="11">
      <c r="A11" s="18" t="inlineStr">
        <is>
          <t>Sy² (varianza de Y)</t>
        </is>
      </c>
      <c r="B11" s="19" t="n"/>
      <c r="D11" s="18" t="inlineStr">
        <is>
          <t>r = Sxy/(Sx·Sy)</t>
        </is>
      </c>
      <c r="E11" s="24">
        <f>IFERROR(E8/SQRT(E6*E7),"")</f>
        <v/>
      </c>
    </row>
    <row r="12">
      <c r="A12" s="18" t="inlineStr">
        <is>
          <t>Sxy (covarianza)</t>
        </is>
      </c>
      <c r="B12" s="19" t="n">
        <v>19200</v>
      </c>
      <c r="D12" s="18" t="inlineStr">
        <is>
          <t>R²</t>
        </is>
      </c>
      <c r="E12" s="24">
        <f>IFERROR(E11^2,"")</f>
        <v/>
      </c>
    </row>
    <row r="13">
      <c r="A13" s="18" t="inlineStr">
        <is>
          <t>r (correlación)</t>
        </is>
      </c>
      <c r="B13" s="19" t="n"/>
      <c r="D13" s="18" t="inlineStr">
        <is>
          <t>Predicción Ŷ</t>
        </is>
      </c>
      <c r="E13" s="24">
        <f>IFERROR(E10+E9*B14,"")</f>
        <v/>
      </c>
    </row>
    <row r="14">
      <c r="A14" s="18" t="inlineStr">
        <is>
          <t>X para predecir</t>
        </is>
      </c>
      <c r="B14" s="19" t="n">
        <v>100</v>
      </c>
      <c r="D14" s="18" t="inlineStr">
        <is>
          <t>b' (X sobre Y) = Sxy/Sy²</t>
        </is>
      </c>
      <c r="E14" s="24">
        <f>IFERROR(E8/E7,"")</f>
        <v/>
      </c>
    </row>
    <row r="15">
      <c r="D15" s="18" t="inlineStr">
        <is>
          <t>a' = x̄ − b'·ȳ</t>
        </is>
      </c>
      <c r="E15" s="24">
        <f>IFERROR(B6-E14*B7,"")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86F00"/>
    <outlinePr summaryBelow="1" summaryRight="1"/>
    <pageSetUpPr/>
  </sheetPr>
  <dimension ref="A1:H36"/>
  <sheetViews>
    <sheetView zoomScale="115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3" customWidth="1" min="5" max="5"/>
    <col width="38" customWidth="1" min="6" max="6"/>
    <col width="16" customWidth="1" min="7" max="7"/>
  </cols>
  <sheetData>
    <row r="1" ht="30" customHeight="1">
      <c r="A1" s="35" t="inlineStr">
        <is>
          <t>I · Serie temporal: índices y tasas</t>
        </is>
      </c>
      <c r="B1" s="36" t="n"/>
      <c r="C1" s="36" t="n"/>
      <c r="D1" s="36" t="n"/>
      <c r="E1" s="36" t="n"/>
      <c r="F1" s="36" t="n"/>
      <c r="G1" s="36" t="n"/>
      <c r="H1" s="36" t="n"/>
    </row>
    <row r="2">
      <c r="A2" s="7" t="inlineStr">
        <is>
          <t>Años en A y valores en B (desde la fila 7, en orden). Elige el año base en F5.</t>
        </is>
      </c>
    </row>
    <row r="3">
      <c r="A3" s="14" t="inlineStr">
        <is>
          <t>Calcula índices con la base elegida, tasas año a año, tasa total y tasa media anual.</t>
        </is>
      </c>
    </row>
    <row r="4">
      <c r="A4" s="15" t="inlineStr">
        <is>
          <t>Amarillo: escribe o pega aquí tus datos.  Verde: resultados (no los toques).</t>
        </is>
      </c>
    </row>
    <row r="5">
      <c r="F5" s="16" t="inlineStr">
        <is>
          <t>Año base →</t>
        </is>
      </c>
      <c r="G5" s="17" t="n">
        <v>2015</v>
      </c>
    </row>
    <row r="6">
      <c r="A6" s="3" t="inlineStr">
        <is>
          <t>Año</t>
        </is>
      </c>
      <c r="B6" s="3" t="inlineStr">
        <is>
          <t>Valor</t>
        </is>
      </c>
      <c r="C6" s="3" t="inlineStr">
        <is>
          <t>Índice (base)</t>
        </is>
      </c>
      <c r="D6" s="3" t="inlineStr">
        <is>
          <t>Tasa vs anterior</t>
        </is>
      </c>
    </row>
    <row r="7">
      <c r="A7" s="19" t="n"/>
      <c r="B7" s="19" t="n"/>
      <c r="C7" s="22">
        <f>IF(B7="","",B7/INDEX($B$7:$B$36,MATCH($G$5,$A$7:$A$36,0))*100)</f>
        <v/>
      </c>
      <c r="D7" s="37" t="inlineStr"/>
      <c r="F7" s="18" t="inlineStr">
        <is>
          <t>Primer año</t>
        </is>
      </c>
      <c r="G7" s="23">
        <f>IFERROR(A7,"")</f>
        <v/>
      </c>
    </row>
    <row r="8">
      <c r="A8" s="19" t="n"/>
      <c r="B8" s="19" t="n"/>
      <c r="C8" s="22">
        <f>IF(B8="","",B8/INDEX($B$7:$B$36,MATCH($G$5,$A$7:$A$36,0))*100)</f>
        <v/>
      </c>
      <c r="D8" s="37">
        <f>IF(B8="","",B8/B7-1)</f>
        <v/>
      </c>
      <c r="F8" s="18" t="inlineStr">
        <is>
          <t>Último año</t>
        </is>
      </c>
      <c r="G8" s="23">
        <f>IFERROR(INDEX(A7:A36,COUNT(B7:B36)),"")</f>
        <v/>
      </c>
    </row>
    <row r="9">
      <c r="A9" s="19" t="n"/>
      <c r="B9" s="19" t="n"/>
      <c r="C9" s="22">
        <f>IF(B9="","",B9/INDEX($B$7:$B$36,MATCH($G$5,$A$7:$A$36,0))*100)</f>
        <v/>
      </c>
      <c r="D9" s="37">
        <f>IF(B9="","",B9/B8-1)</f>
        <v/>
      </c>
      <c r="F9" s="18" t="inlineStr">
        <is>
          <t>Años transcurridos</t>
        </is>
      </c>
      <c r="G9" s="23">
        <f>IFERROR(G8-G7,"")</f>
        <v/>
      </c>
    </row>
    <row r="10">
      <c r="A10" s="19" t="n"/>
      <c r="B10" s="19" t="n"/>
      <c r="C10" s="22">
        <f>IF(B10="","",B10/INDEX($B$7:$B$36,MATCH($G$5,$A$7:$A$36,0))*100)</f>
        <v/>
      </c>
      <c r="D10" s="37">
        <f>IF(B10="","",B10/B9-1)</f>
        <v/>
      </c>
      <c r="F10" s="18" t="inlineStr">
        <is>
          <t>Tasa total (primero → último)</t>
        </is>
      </c>
      <c r="G10" s="28">
        <f>IFERROR(INDEX(B7:B36,COUNT(B7:B36))/B7-1,"")</f>
        <v/>
      </c>
    </row>
    <row r="11">
      <c r="A11" s="19" t="n"/>
      <c r="B11" s="19" t="n"/>
      <c r="C11" s="22">
        <f>IF(B11="","",B11/INDEX($B$7:$B$36,MATCH($G$5,$A$7:$A$36,0))*100)</f>
        <v/>
      </c>
      <c r="D11" s="37">
        <f>IF(B11="","",B11/B10-1)</f>
        <v/>
      </c>
      <c r="F11" s="18" t="inlineStr">
        <is>
          <t>Tasa media anual</t>
        </is>
      </c>
      <c r="G11" s="38">
        <f>IFERROR((1+G10)^(1/G9)-1,"")</f>
        <v/>
      </c>
    </row>
    <row r="12">
      <c r="A12" s="19" t="n"/>
      <c r="B12" s="19" t="n"/>
      <c r="C12" s="22">
        <f>IF(B12="","",B12/INDEX($B$7:$B$36,MATCH($G$5,$A$7:$A$36,0))*100)</f>
        <v/>
      </c>
      <c r="D12" s="37">
        <f>IF(B12="","",B12/B11-1)</f>
        <v/>
      </c>
    </row>
    <row r="13">
      <c r="A13" s="19" t="n"/>
      <c r="B13" s="19" t="n"/>
      <c r="C13" s="22">
        <f>IF(B13="","",B13/INDEX($B$7:$B$36,MATCH($G$5,$A$7:$A$36,0))*100)</f>
        <v/>
      </c>
      <c r="D13" s="37">
        <f>IF(B13="","",B13/B12-1)</f>
        <v/>
      </c>
    </row>
    <row r="14">
      <c r="A14" s="19" t="n"/>
      <c r="B14" s="19" t="n"/>
      <c r="C14" s="22">
        <f>IF(B14="","",B14/INDEX($B$7:$B$36,MATCH($G$5,$A$7:$A$36,0))*100)</f>
        <v/>
      </c>
      <c r="D14" s="37">
        <f>IF(B14="","",B14/B13-1)</f>
        <v/>
      </c>
    </row>
    <row r="15">
      <c r="A15" s="19" t="n"/>
      <c r="B15" s="19" t="n"/>
      <c r="C15" s="22">
        <f>IF(B15="","",B15/INDEX($B$7:$B$36,MATCH($G$5,$A$7:$A$36,0))*100)</f>
        <v/>
      </c>
      <c r="D15" s="37">
        <f>IF(B15="","",B15/B14-1)</f>
        <v/>
      </c>
    </row>
    <row r="16">
      <c r="A16" s="19" t="n"/>
      <c r="B16" s="19" t="n"/>
      <c r="C16" s="22">
        <f>IF(B16="","",B16/INDEX($B$7:$B$36,MATCH($G$5,$A$7:$A$36,0))*100)</f>
        <v/>
      </c>
      <c r="D16" s="37">
        <f>IF(B16="","",B16/B15-1)</f>
        <v/>
      </c>
    </row>
    <row r="17">
      <c r="A17" s="19" t="n"/>
      <c r="B17" s="19" t="n"/>
      <c r="C17" s="22">
        <f>IF(B17="","",B17/INDEX($B$7:$B$36,MATCH($G$5,$A$7:$A$36,0))*100)</f>
        <v/>
      </c>
      <c r="D17" s="37">
        <f>IF(B17="","",B17/B16-1)</f>
        <v/>
      </c>
    </row>
    <row r="18">
      <c r="A18" s="19" t="n"/>
      <c r="B18" s="19" t="n"/>
      <c r="C18" s="22">
        <f>IF(B18="","",B18/INDEX($B$7:$B$36,MATCH($G$5,$A$7:$A$36,0))*100)</f>
        <v/>
      </c>
      <c r="D18" s="37">
        <f>IF(B18="","",B18/B17-1)</f>
        <v/>
      </c>
    </row>
    <row r="19">
      <c r="A19" s="19" t="n"/>
      <c r="B19" s="19" t="n"/>
      <c r="C19" s="22">
        <f>IF(B19="","",B19/INDEX($B$7:$B$36,MATCH($G$5,$A$7:$A$36,0))*100)</f>
        <v/>
      </c>
      <c r="D19" s="37">
        <f>IF(B19="","",B19/B18-1)</f>
        <v/>
      </c>
    </row>
    <row r="20">
      <c r="A20" s="19" t="n"/>
      <c r="B20" s="19" t="n"/>
      <c r="C20" s="22">
        <f>IF(B20="","",B20/INDEX($B$7:$B$36,MATCH($G$5,$A$7:$A$36,0))*100)</f>
        <v/>
      </c>
      <c r="D20" s="37">
        <f>IF(B20="","",B20/B19-1)</f>
        <v/>
      </c>
    </row>
    <row r="21">
      <c r="A21" s="19" t="n"/>
      <c r="B21" s="19" t="n"/>
      <c r="C21" s="22">
        <f>IF(B21="","",B21/INDEX($B$7:$B$36,MATCH($G$5,$A$7:$A$36,0))*100)</f>
        <v/>
      </c>
      <c r="D21" s="37">
        <f>IF(B21="","",B21/B20-1)</f>
        <v/>
      </c>
    </row>
    <row r="22">
      <c r="A22" s="19" t="n"/>
      <c r="B22" s="19" t="n"/>
      <c r="C22" s="22">
        <f>IF(B22="","",B22/INDEX($B$7:$B$36,MATCH($G$5,$A$7:$A$36,0))*100)</f>
        <v/>
      </c>
      <c r="D22" s="37">
        <f>IF(B22="","",B22/B21-1)</f>
        <v/>
      </c>
    </row>
    <row r="23">
      <c r="A23" s="19" t="n"/>
      <c r="B23" s="19" t="n"/>
      <c r="C23" s="22">
        <f>IF(B23="","",B23/INDEX($B$7:$B$36,MATCH($G$5,$A$7:$A$36,0))*100)</f>
        <v/>
      </c>
      <c r="D23" s="37">
        <f>IF(B23="","",B23/B22-1)</f>
        <v/>
      </c>
    </row>
    <row r="24">
      <c r="A24" s="19" t="n"/>
      <c r="B24" s="19" t="n"/>
      <c r="C24" s="22">
        <f>IF(B24="","",B24/INDEX($B$7:$B$36,MATCH($G$5,$A$7:$A$36,0))*100)</f>
        <v/>
      </c>
      <c r="D24" s="37">
        <f>IF(B24="","",B24/B23-1)</f>
        <v/>
      </c>
    </row>
    <row r="25">
      <c r="A25" s="19" t="n"/>
      <c r="B25" s="19" t="n"/>
      <c r="C25" s="22">
        <f>IF(B25="","",B25/INDEX($B$7:$B$36,MATCH($G$5,$A$7:$A$36,0))*100)</f>
        <v/>
      </c>
      <c r="D25" s="37">
        <f>IF(B25="","",B25/B24-1)</f>
        <v/>
      </c>
    </row>
    <row r="26">
      <c r="A26" s="19" t="n"/>
      <c r="B26" s="19" t="n"/>
      <c r="C26" s="22">
        <f>IF(B26="","",B26/INDEX($B$7:$B$36,MATCH($G$5,$A$7:$A$36,0))*100)</f>
        <v/>
      </c>
      <c r="D26" s="37">
        <f>IF(B26="","",B26/B25-1)</f>
        <v/>
      </c>
    </row>
    <row r="27">
      <c r="A27" s="19" t="n"/>
      <c r="B27" s="19" t="n"/>
      <c r="C27" s="22">
        <f>IF(B27="","",B27/INDEX($B$7:$B$36,MATCH($G$5,$A$7:$A$36,0))*100)</f>
        <v/>
      </c>
      <c r="D27" s="37">
        <f>IF(B27="","",B27/B26-1)</f>
        <v/>
      </c>
    </row>
    <row r="28">
      <c r="A28" s="19" t="n"/>
      <c r="B28" s="19" t="n"/>
      <c r="C28" s="22">
        <f>IF(B28="","",B28/INDEX($B$7:$B$36,MATCH($G$5,$A$7:$A$36,0))*100)</f>
        <v/>
      </c>
      <c r="D28" s="37">
        <f>IF(B28="","",B28/B27-1)</f>
        <v/>
      </c>
    </row>
    <row r="29">
      <c r="A29" s="19" t="n"/>
      <c r="B29" s="19" t="n"/>
      <c r="C29" s="22">
        <f>IF(B29="","",B29/INDEX($B$7:$B$36,MATCH($G$5,$A$7:$A$36,0))*100)</f>
        <v/>
      </c>
      <c r="D29" s="37">
        <f>IF(B29="","",B29/B28-1)</f>
        <v/>
      </c>
    </row>
    <row r="30">
      <c r="A30" s="19" t="n"/>
      <c r="B30" s="19" t="n"/>
      <c r="C30" s="22">
        <f>IF(B30="","",B30/INDEX($B$7:$B$36,MATCH($G$5,$A$7:$A$36,0))*100)</f>
        <v/>
      </c>
      <c r="D30" s="37">
        <f>IF(B30="","",B30/B29-1)</f>
        <v/>
      </c>
    </row>
    <row r="31">
      <c r="A31" s="19" t="n"/>
      <c r="B31" s="19" t="n"/>
      <c r="C31" s="22">
        <f>IF(B31="","",B31/INDEX($B$7:$B$36,MATCH($G$5,$A$7:$A$36,0))*100)</f>
        <v/>
      </c>
      <c r="D31" s="37">
        <f>IF(B31="","",B31/B30-1)</f>
        <v/>
      </c>
    </row>
    <row r="32">
      <c r="A32" s="19" t="n"/>
      <c r="B32" s="19" t="n"/>
      <c r="C32" s="22">
        <f>IF(B32="","",B32/INDEX($B$7:$B$36,MATCH($G$5,$A$7:$A$36,0))*100)</f>
        <v/>
      </c>
      <c r="D32" s="37">
        <f>IF(B32="","",B32/B31-1)</f>
        <v/>
      </c>
    </row>
    <row r="33">
      <c r="A33" s="19" t="n"/>
      <c r="B33" s="19" t="n"/>
      <c r="C33" s="22">
        <f>IF(B33="","",B33/INDEX($B$7:$B$36,MATCH($G$5,$A$7:$A$36,0))*100)</f>
        <v/>
      </c>
      <c r="D33" s="37">
        <f>IF(B33="","",B33/B32-1)</f>
        <v/>
      </c>
    </row>
    <row r="34">
      <c r="A34" s="19" t="n"/>
      <c r="B34" s="19" t="n"/>
      <c r="C34" s="22">
        <f>IF(B34="","",B34/INDEX($B$7:$B$36,MATCH($G$5,$A$7:$A$36,0))*100)</f>
        <v/>
      </c>
      <c r="D34" s="37">
        <f>IF(B34="","",B34/B33-1)</f>
        <v/>
      </c>
    </row>
    <row r="35">
      <c r="A35" s="19" t="n"/>
      <c r="B35" s="19" t="n"/>
      <c r="C35" s="22">
        <f>IF(B35="","",B35/INDEX($B$7:$B$36,MATCH($G$5,$A$7:$A$36,0))*100)</f>
        <v/>
      </c>
      <c r="D35" s="37">
        <f>IF(B35="","",B35/B34-1)</f>
        <v/>
      </c>
    </row>
    <row r="36">
      <c r="A36" s="19" t="n"/>
      <c r="B36" s="19" t="n"/>
      <c r="C36" s="22">
        <f>IF(B36="","",B36/INDEX($B$7:$B$36,MATCH($G$5,$A$7:$A$36,0))*100)</f>
        <v/>
      </c>
      <c r="D36" s="37">
        <f>IF(B36="","",B36/B35-1)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86F00"/>
    <outlinePr summaryBelow="1" summaryRight="1"/>
    <pageSetUpPr/>
  </sheetPr>
  <dimension ref="A1:H31"/>
  <sheetViews>
    <sheetView zoomScale="115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" customWidth="1" min="4" max="4"/>
    <col width="38" customWidth="1" min="5" max="5"/>
    <col width="16" customWidth="1" min="6" max="6"/>
  </cols>
  <sheetData>
    <row r="1" ht="30" customHeight="1">
      <c r="A1" s="35" t="inlineStr">
        <is>
          <t>J · Tasas encadenadas y equivalentes</t>
        </is>
      </c>
      <c r="B1" s="36" t="n"/>
      <c r="C1" s="36" t="n"/>
      <c r="D1" s="36" t="n"/>
      <c r="E1" s="36" t="n"/>
      <c r="F1" s="36" t="n"/>
      <c r="G1" s="36" t="n"/>
      <c r="H1" s="36" t="n"/>
    </row>
    <row r="2">
      <c r="A2" s="7" t="inlineStr">
        <is>
          <t>Escribe las tasas de cada periodo en B (como 5 % o 0,05; negativas para bajadas).</t>
        </is>
      </c>
    </row>
    <row r="3">
      <c r="A3" s="14" t="inlineStr">
        <is>
          <t>Calcula los índices encadenados, la tasa acumulada y la tasa media. Abajo: de anual a mensual y al revés.</t>
        </is>
      </c>
    </row>
    <row r="4">
      <c r="A4" s="15" t="inlineStr">
        <is>
          <t>Amarillo: escribe o pega aquí tus datos.  Verde: resultados (no los toques).</t>
        </is>
      </c>
    </row>
    <row r="5"/>
    <row r="6">
      <c r="A6" s="3" t="inlineStr">
        <is>
          <t>Periodo</t>
        </is>
      </c>
      <c r="B6" s="3" t="inlineStr">
        <is>
          <t>Tasa</t>
        </is>
      </c>
      <c r="C6" s="3" t="inlineStr">
        <is>
          <t>Índice (inicio = 100)</t>
        </is>
      </c>
    </row>
    <row r="7">
      <c r="A7" t="inlineStr">
        <is>
          <t>Inicio</t>
        </is>
      </c>
      <c r="C7" s="26" t="n">
        <v>100</v>
      </c>
      <c r="E7" s="18" t="inlineStr">
        <is>
          <t>Nº de periodos</t>
        </is>
      </c>
      <c r="F7" s="23">
        <f>IFERROR(COUNT(B8:B31),"")</f>
        <v/>
      </c>
    </row>
    <row r="8">
      <c r="A8" s="19" t="n"/>
      <c r="B8" s="39" t="n"/>
      <c r="C8" s="22">
        <f>IF(B8="","",C7*(1+B8))</f>
        <v/>
      </c>
      <c r="E8" s="18" t="inlineStr">
        <is>
          <t>Tasa acumulada</t>
        </is>
      </c>
      <c r="F8" s="28">
        <f>IFERROR(INDEX(C7:C31,F7+1)/100-1,"")</f>
        <v/>
      </c>
    </row>
    <row r="9">
      <c r="A9" s="19" t="n"/>
      <c r="B9" s="39" t="n"/>
      <c r="C9" s="22">
        <f>IF(B9="","",C8*(1+B9))</f>
        <v/>
      </c>
      <c r="E9" s="18" t="inlineStr">
        <is>
          <t>Tasa media por periodo (geométrica)</t>
        </is>
      </c>
      <c r="F9" s="38">
        <f>IFERROR((1+F8)^(1/F7)-1,"")</f>
        <v/>
      </c>
    </row>
    <row r="10">
      <c r="A10" s="19" t="n"/>
      <c r="B10" s="39" t="n"/>
      <c r="C10" s="22">
        <f>IF(B10="","",C9*(1+B10))</f>
        <v/>
      </c>
    </row>
    <row r="11">
      <c r="A11" s="19" t="n"/>
      <c r="B11" s="39" t="n"/>
      <c r="C11" s="22">
        <f>IF(B11="","",C10*(1+B11))</f>
        <v/>
      </c>
    </row>
    <row r="12">
      <c r="A12" s="19" t="n"/>
      <c r="B12" s="39" t="n"/>
      <c r="C12" s="22">
        <f>IF(B12="","",C11*(1+B12))</f>
        <v/>
      </c>
      <c r="E12" s="16" t="inlineStr">
        <is>
          <t>Tasa anual →</t>
        </is>
      </c>
      <c r="F12" s="40" t="n">
        <v>0.06</v>
      </c>
    </row>
    <row r="13">
      <c r="A13" s="19" t="n"/>
      <c r="B13" s="39" t="n"/>
      <c r="C13" s="22">
        <f>IF(B13="","",C12*(1+B13))</f>
        <v/>
      </c>
      <c r="E13" s="18" t="inlineStr">
        <is>
          <t>Tasa mensual equivalente</t>
        </is>
      </c>
      <c r="F13" s="41">
        <f>IFERROR((1+F12)^(1/12)-1,"")</f>
        <v/>
      </c>
    </row>
    <row r="14">
      <c r="A14" s="19" t="n"/>
      <c r="B14" s="39" t="n"/>
      <c r="C14" s="22">
        <f>IF(B14="","",C13*(1+B14))</f>
        <v/>
      </c>
    </row>
    <row r="15">
      <c r="A15" s="19" t="n"/>
      <c r="B15" s="39" t="n"/>
      <c r="C15" s="22">
        <f>IF(B15="","",C14*(1+B15))</f>
        <v/>
      </c>
      <c r="E15" s="16" t="inlineStr">
        <is>
          <t>Tasa mensual →</t>
        </is>
      </c>
      <c r="F15" s="40" t="n">
        <v>0.005</v>
      </c>
    </row>
    <row r="16">
      <c r="A16" s="19" t="n"/>
      <c r="B16" s="39" t="n"/>
      <c r="C16" s="22">
        <f>IF(B16="","",C15*(1+B16))</f>
        <v/>
      </c>
      <c r="E16" s="18" t="inlineStr">
        <is>
          <t>Tasa anual equivalente</t>
        </is>
      </c>
      <c r="F16" s="28">
        <f>IFERROR((1+F15)^12-1,"")</f>
        <v/>
      </c>
    </row>
    <row r="17">
      <c r="A17" s="19" t="n"/>
      <c r="B17" s="39" t="n"/>
      <c r="C17" s="22">
        <f>IF(B17="","",C16*(1+B17))</f>
        <v/>
      </c>
    </row>
    <row r="18">
      <c r="A18" s="19" t="n"/>
      <c r="B18" s="39" t="n"/>
      <c r="C18" s="22">
        <f>IF(B18="","",C17*(1+B18))</f>
        <v/>
      </c>
    </row>
    <row r="19">
      <c r="A19" s="19" t="n"/>
      <c r="B19" s="39" t="n"/>
      <c r="C19" s="22">
        <f>IF(B19="","",C18*(1+B19))</f>
        <v/>
      </c>
    </row>
    <row r="20">
      <c r="A20" s="19" t="n"/>
      <c r="B20" s="39" t="n"/>
      <c r="C20" s="22">
        <f>IF(B20="","",C19*(1+B20))</f>
        <v/>
      </c>
    </row>
    <row r="21">
      <c r="A21" s="19" t="n"/>
      <c r="B21" s="39" t="n"/>
      <c r="C21" s="22">
        <f>IF(B21="","",C20*(1+B21))</f>
        <v/>
      </c>
    </row>
    <row r="22">
      <c r="A22" s="19" t="n"/>
      <c r="B22" s="39" t="n"/>
      <c r="C22" s="22">
        <f>IF(B22="","",C21*(1+B22))</f>
        <v/>
      </c>
    </row>
    <row r="23">
      <c r="A23" s="19" t="n"/>
      <c r="B23" s="39" t="n"/>
      <c r="C23" s="22">
        <f>IF(B23="","",C22*(1+B23))</f>
        <v/>
      </c>
    </row>
    <row r="24">
      <c r="A24" s="19" t="n"/>
      <c r="B24" s="39" t="n"/>
      <c r="C24" s="22">
        <f>IF(B24="","",C23*(1+B24))</f>
        <v/>
      </c>
    </row>
    <row r="25">
      <c r="A25" s="19" t="n"/>
      <c r="B25" s="39" t="n"/>
      <c r="C25" s="22">
        <f>IF(B25="","",C24*(1+B25))</f>
        <v/>
      </c>
    </row>
    <row r="26">
      <c r="A26" s="19" t="n"/>
      <c r="B26" s="39" t="n"/>
      <c r="C26" s="22">
        <f>IF(B26="","",C25*(1+B26))</f>
        <v/>
      </c>
    </row>
    <row r="27">
      <c r="A27" s="19" t="n"/>
      <c r="B27" s="39" t="n"/>
      <c r="C27" s="22">
        <f>IF(B27="","",C26*(1+B27))</f>
        <v/>
      </c>
    </row>
    <row r="28">
      <c r="A28" s="19" t="n"/>
      <c r="B28" s="39" t="n"/>
      <c r="C28" s="22">
        <f>IF(B28="","",C27*(1+B28))</f>
        <v/>
      </c>
    </row>
    <row r="29">
      <c r="A29" s="19" t="n"/>
      <c r="B29" s="39" t="n"/>
      <c r="C29" s="22">
        <f>IF(B29="","",C28*(1+B29))</f>
        <v/>
      </c>
    </row>
    <row r="30">
      <c r="A30" s="19" t="n"/>
      <c r="B30" s="39" t="n"/>
      <c r="C30" s="22">
        <f>IF(B30="","",C29*(1+B30))</f>
        <v/>
      </c>
    </row>
    <row r="31">
      <c r="A31" s="19" t="n"/>
      <c r="B31" s="39" t="n"/>
      <c r="C31" s="22">
        <f>IF(B31="","",C30*(1+B31))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86F00"/>
    <outlinePr summaryBelow="1" summaryRight="1"/>
    <pageSetUpPr/>
  </sheetPr>
  <dimension ref="A1:N26"/>
  <sheetViews>
    <sheetView zoomScale="115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" customWidth="1" min="12" max="12"/>
    <col width="36" customWidth="1" min="13" max="13"/>
    <col width="14" customWidth="1" min="14" max="14"/>
  </cols>
  <sheetData>
    <row r="1" ht="30" customHeight="1">
      <c r="A1" s="35" t="inlineStr">
        <is>
          <t>K · Laspeyres, Paasche y Fisher</t>
        </is>
      </c>
      <c r="B1" s="36" t="n"/>
      <c r="C1" s="36" t="n"/>
      <c r="D1" s="36" t="n"/>
      <c r="E1" s="36" t="n"/>
      <c r="F1" s="36" t="n"/>
      <c r="G1" s="36" t="n"/>
      <c r="H1" s="36" t="n"/>
    </row>
    <row r="2">
      <c r="A2" s="7" t="inlineStr">
        <is>
          <t>Por producto: precio y cantidad en el año base (0) y en el año actual (t).</t>
        </is>
      </c>
    </row>
    <row r="3">
      <c r="A3" s="14" t="inlineStr">
        <is>
          <t>Índices de precios y de cantidades.</t>
        </is>
      </c>
    </row>
    <row r="4">
      <c r="A4" s="15" t="inlineStr">
        <is>
          <t>Amarillo: escribe o pega aquí tus datos.  Verde: resultados (no los toques).</t>
        </is>
      </c>
    </row>
    <row r="5"/>
    <row r="6">
      <c r="A6" s="3" t="inlineStr">
        <is>
          <t>Producto</t>
        </is>
      </c>
      <c r="B6" s="3" t="inlineStr">
        <is>
          <t>p₀</t>
        </is>
      </c>
      <c r="C6" s="3" t="inlineStr">
        <is>
          <t>q₀</t>
        </is>
      </c>
      <c r="D6" s="3" t="inlineStr">
        <is>
          <t>pₜ</t>
        </is>
      </c>
      <c r="E6" s="3" t="inlineStr">
        <is>
          <t>qₜ</t>
        </is>
      </c>
      <c r="F6" s="3" t="inlineStr">
        <is>
          <t>pₜ·q₀</t>
        </is>
      </c>
      <c r="G6" s="3" t="inlineStr">
        <is>
          <t>p₀·q₀</t>
        </is>
      </c>
      <c r="H6" s="3" t="inlineStr">
        <is>
          <t>pₜ·qₜ</t>
        </is>
      </c>
      <c r="I6" s="3" t="inlineStr">
        <is>
          <t>p₀·qₜ</t>
        </is>
      </c>
      <c r="J6" s="3" t="inlineStr">
        <is>
          <t xml:space="preserve">qₜ·p₀ </t>
        </is>
      </c>
      <c r="K6" s="3" t="inlineStr">
        <is>
          <t>q₀·pₜ</t>
        </is>
      </c>
    </row>
    <row r="7">
      <c r="A7" s="19" t="n"/>
      <c r="B7" s="19" t="n"/>
      <c r="C7" s="19" t="n"/>
      <c r="D7" s="19" t="n"/>
      <c r="E7" s="19" t="n"/>
      <c r="F7" s="26">
        <f>IF(B7="","",D7*C7)</f>
        <v/>
      </c>
      <c r="G7" s="26">
        <f>IF(B7="","",B7*C7)</f>
        <v/>
      </c>
      <c r="H7" s="26">
        <f>IF(B7="","",D7*E7)</f>
        <v/>
      </c>
      <c r="I7" s="26">
        <f>IF(B7="","",B7*E7)</f>
        <v/>
      </c>
      <c r="J7" s="26">
        <f>IF(B7="","",E7*B7)</f>
        <v/>
      </c>
      <c r="K7" s="26">
        <f>IF(B7="","",C7*D7)</f>
        <v/>
      </c>
      <c r="M7" s="18" t="inlineStr">
        <is>
          <t>Laspeyres de precios</t>
        </is>
      </c>
      <c r="N7" s="42">
        <f>IFERROR(SUM(F7:F26)/SUM(G7:G26)*100,"")</f>
        <v/>
      </c>
    </row>
    <row r="8">
      <c r="A8" s="19" t="n"/>
      <c r="B8" s="19" t="n"/>
      <c r="C8" s="19" t="n"/>
      <c r="D8" s="19" t="n"/>
      <c r="E8" s="19" t="n"/>
      <c r="F8" s="26">
        <f>IF(B8="","",D8*C8)</f>
        <v/>
      </c>
      <c r="G8" s="26">
        <f>IF(B8="","",B8*C8)</f>
        <v/>
      </c>
      <c r="H8" s="26">
        <f>IF(B8="","",D8*E8)</f>
        <v/>
      </c>
      <c r="I8" s="26">
        <f>IF(B8="","",B8*E8)</f>
        <v/>
      </c>
      <c r="J8" s="26">
        <f>IF(B8="","",E8*B8)</f>
        <v/>
      </c>
      <c r="K8" s="26">
        <f>IF(B8="","",C8*D8)</f>
        <v/>
      </c>
      <c r="M8" s="18" t="inlineStr">
        <is>
          <t>Paasche de precios</t>
        </is>
      </c>
      <c r="N8" s="42">
        <f>IFERROR(SUM(H7:H26)/SUM(I7:I26)*100,"")</f>
        <v/>
      </c>
    </row>
    <row r="9">
      <c r="A9" s="19" t="n"/>
      <c r="B9" s="19" t="n"/>
      <c r="C9" s="19" t="n"/>
      <c r="D9" s="19" t="n"/>
      <c r="E9" s="19" t="n"/>
      <c r="F9" s="26">
        <f>IF(B9="","",D9*C9)</f>
        <v/>
      </c>
      <c r="G9" s="26">
        <f>IF(B9="","",B9*C9)</f>
        <v/>
      </c>
      <c r="H9" s="26">
        <f>IF(B9="","",D9*E9)</f>
        <v/>
      </c>
      <c r="I9" s="26">
        <f>IF(B9="","",B9*E9)</f>
        <v/>
      </c>
      <c r="J9" s="26">
        <f>IF(B9="","",E9*B9)</f>
        <v/>
      </c>
      <c r="K9" s="26">
        <f>IF(B9="","",C9*D9)</f>
        <v/>
      </c>
      <c r="M9" s="18" t="inlineStr">
        <is>
          <t>Fisher de precios</t>
        </is>
      </c>
      <c r="N9" s="42">
        <f>IFERROR(SQRT(N7*N8),"")</f>
        <v/>
      </c>
    </row>
    <row r="10">
      <c r="A10" s="19" t="n"/>
      <c r="B10" s="19" t="n"/>
      <c r="C10" s="19" t="n"/>
      <c r="D10" s="19" t="n"/>
      <c r="E10" s="19" t="n"/>
      <c r="F10" s="26">
        <f>IF(B10="","",D10*C10)</f>
        <v/>
      </c>
      <c r="G10" s="26">
        <f>IF(B10="","",B10*C10)</f>
        <v/>
      </c>
      <c r="H10" s="26">
        <f>IF(B10="","",D10*E10)</f>
        <v/>
      </c>
      <c r="I10" s="26">
        <f>IF(B10="","",B10*E10)</f>
        <v/>
      </c>
      <c r="J10" s="26">
        <f>IF(B10="","",E10*B10)</f>
        <v/>
      </c>
      <c r="K10" s="26">
        <f>IF(B10="","",C10*D10)</f>
        <v/>
      </c>
      <c r="M10" s="18" t="inlineStr">
        <is>
          <t>Laspeyres de cantidades</t>
        </is>
      </c>
      <c r="N10" s="42">
        <f>IFERROR(SUM(J7:J26)/SUM(G7:G26)*100,"")</f>
        <v/>
      </c>
    </row>
    <row r="11">
      <c r="A11" s="19" t="n"/>
      <c r="B11" s="19" t="n"/>
      <c r="C11" s="19" t="n"/>
      <c r="D11" s="19" t="n"/>
      <c r="E11" s="19" t="n"/>
      <c r="F11" s="26">
        <f>IF(B11="","",D11*C11)</f>
        <v/>
      </c>
      <c r="G11" s="26">
        <f>IF(B11="","",B11*C11)</f>
        <v/>
      </c>
      <c r="H11" s="26">
        <f>IF(B11="","",D11*E11)</f>
        <v/>
      </c>
      <c r="I11" s="26">
        <f>IF(B11="","",B11*E11)</f>
        <v/>
      </c>
      <c r="J11" s="26">
        <f>IF(B11="","",E11*B11)</f>
        <v/>
      </c>
      <c r="K11" s="26">
        <f>IF(B11="","",C11*D11)</f>
        <v/>
      </c>
      <c r="M11" s="18" t="inlineStr">
        <is>
          <t>Paasche de cantidades</t>
        </is>
      </c>
      <c r="N11" s="42">
        <f>IFERROR(SUM(H7:H26)/SUM(K7:K26)*100,"")</f>
        <v/>
      </c>
    </row>
    <row r="12">
      <c r="A12" s="19" t="n"/>
      <c r="B12" s="19" t="n"/>
      <c r="C12" s="19" t="n"/>
      <c r="D12" s="19" t="n"/>
      <c r="E12" s="19" t="n"/>
      <c r="F12" s="26">
        <f>IF(B12="","",D12*C12)</f>
        <v/>
      </c>
      <c r="G12" s="26">
        <f>IF(B12="","",B12*C12)</f>
        <v/>
      </c>
      <c r="H12" s="26">
        <f>IF(B12="","",D12*E12)</f>
        <v/>
      </c>
      <c r="I12" s="26">
        <f>IF(B12="","",B12*E12)</f>
        <v/>
      </c>
      <c r="J12" s="26">
        <f>IF(B12="","",E12*B12)</f>
        <v/>
      </c>
      <c r="K12" s="26">
        <f>IF(B12="","",C12*D12)</f>
        <v/>
      </c>
      <c r="M12" s="18" t="inlineStr">
        <is>
          <t>Fisher de cantidades</t>
        </is>
      </c>
      <c r="N12" s="42">
        <f>IFERROR(SQRT(N10*N11),"")</f>
        <v/>
      </c>
    </row>
    <row r="13">
      <c r="A13" s="19" t="n"/>
      <c r="B13" s="19" t="n"/>
      <c r="C13" s="19" t="n"/>
      <c r="D13" s="19" t="n"/>
      <c r="E13" s="19" t="n"/>
      <c r="F13" s="26">
        <f>IF(B13="","",D13*C13)</f>
        <v/>
      </c>
      <c r="G13" s="26">
        <f>IF(B13="","",B13*C13)</f>
        <v/>
      </c>
      <c r="H13" s="26">
        <f>IF(B13="","",D13*E13)</f>
        <v/>
      </c>
      <c r="I13" s="26">
        <f>IF(B13="","",B13*E13)</f>
        <v/>
      </c>
      <c r="J13" s="26">
        <f>IF(B13="","",E13*B13)</f>
        <v/>
      </c>
      <c r="K13" s="26">
        <f>IF(B13="","",C13*D13)</f>
        <v/>
      </c>
    </row>
    <row r="14">
      <c r="A14" s="19" t="n"/>
      <c r="B14" s="19" t="n"/>
      <c r="C14" s="19" t="n"/>
      <c r="D14" s="19" t="n"/>
      <c r="E14" s="19" t="n"/>
      <c r="F14" s="26">
        <f>IF(B14="","",D14*C14)</f>
        <v/>
      </c>
      <c r="G14" s="26">
        <f>IF(B14="","",B14*C14)</f>
        <v/>
      </c>
      <c r="H14" s="26">
        <f>IF(B14="","",D14*E14)</f>
        <v/>
      </c>
      <c r="I14" s="26">
        <f>IF(B14="","",B14*E14)</f>
        <v/>
      </c>
      <c r="J14" s="26">
        <f>IF(B14="","",E14*B14)</f>
        <v/>
      </c>
      <c r="K14" s="26">
        <f>IF(B14="","",C14*D14)</f>
        <v/>
      </c>
    </row>
    <row r="15">
      <c r="A15" s="19" t="n"/>
      <c r="B15" s="19" t="n"/>
      <c r="C15" s="19" t="n"/>
      <c r="D15" s="19" t="n"/>
      <c r="E15" s="19" t="n"/>
      <c r="F15" s="26">
        <f>IF(B15="","",D15*C15)</f>
        <v/>
      </c>
      <c r="G15" s="26">
        <f>IF(B15="","",B15*C15)</f>
        <v/>
      </c>
      <c r="H15" s="26">
        <f>IF(B15="","",D15*E15)</f>
        <v/>
      </c>
      <c r="I15" s="26">
        <f>IF(B15="","",B15*E15)</f>
        <v/>
      </c>
      <c r="J15" s="26">
        <f>IF(B15="","",E15*B15)</f>
        <v/>
      </c>
      <c r="K15" s="26">
        <f>IF(B15="","",C15*D15)</f>
        <v/>
      </c>
    </row>
    <row r="16">
      <c r="A16" s="19" t="n"/>
      <c r="B16" s="19" t="n"/>
      <c r="C16" s="19" t="n"/>
      <c r="D16" s="19" t="n"/>
      <c r="E16" s="19" t="n"/>
      <c r="F16" s="26">
        <f>IF(B16="","",D16*C16)</f>
        <v/>
      </c>
      <c r="G16" s="26">
        <f>IF(B16="","",B16*C16)</f>
        <v/>
      </c>
      <c r="H16" s="26">
        <f>IF(B16="","",D16*E16)</f>
        <v/>
      </c>
      <c r="I16" s="26">
        <f>IF(B16="","",B16*E16)</f>
        <v/>
      </c>
      <c r="J16" s="26">
        <f>IF(B16="","",E16*B16)</f>
        <v/>
      </c>
      <c r="K16" s="26">
        <f>IF(B16="","",C16*D16)</f>
        <v/>
      </c>
    </row>
    <row r="17">
      <c r="A17" s="19" t="n"/>
      <c r="B17" s="19" t="n"/>
      <c r="C17" s="19" t="n"/>
      <c r="D17" s="19" t="n"/>
      <c r="E17" s="19" t="n"/>
      <c r="F17" s="26">
        <f>IF(B17="","",D17*C17)</f>
        <v/>
      </c>
      <c r="G17" s="26">
        <f>IF(B17="","",B17*C17)</f>
        <v/>
      </c>
      <c r="H17" s="26">
        <f>IF(B17="","",D17*E17)</f>
        <v/>
      </c>
      <c r="I17" s="26">
        <f>IF(B17="","",B17*E17)</f>
        <v/>
      </c>
      <c r="J17" s="26">
        <f>IF(B17="","",E17*B17)</f>
        <v/>
      </c>
      <c r="K17" s="26">
        <f>IF(B17="","",C17*D17)</f>
        <v/>
      </c>
    </row>
    <row r="18">
      <c r="A18" s="19" t="n"/>
      <c r="B18" s="19" t="n"/>
      <c r="C18" s="19" t="n"/>
      <c r="D18" s="19" t="n"/>
      <c r="E18" s="19" t="n"/>
      <c r="F18" s="26">
        <f>IF(B18="","",D18*C18)</f>
        <v/>
      </c>
      <c r="G18" s="26">
        <f>IF(B18="","",B18*C18)</f>
        <v/>
      </c>
      <c r="H18" s="26">
        <f>IF(B18="","",D18*E18)</f>
        <v/>
      </c>
      <c r="I18" s="26">
        <f>IF(B18="","",B18*E18)</f>
        <v/>
      </c>
      <c r="J18" s="26">
        <f>IF(B18="","",E18*B18)</f>
        <v/>
      </c>
      <c r="K18" s="26">
        <f>IF(B18="","",C18*D18)</f>
        <v/>
      </c>
    </row>
    <row r="19">
      <c r="A19" s="19" t="n"/>
      <c r="B19" s="19" t="n"/>
      <c r="C19" s="19" t="n"/>
      <c r="D19" s="19" t="n"/>
      <c r="E19" s="19" t="n"/>
      <c r="F19" s="26">
        <f>IF(B19="","",D19*C19)</f>
        <v/>
      </c>
      <c r="G19" s="26">
        <f>IF(B19="","",B19*C19)</f>
        <v/>
      </c>
      <c r="H19" s="26">
        <f>IF(B19="","",D19*E19)</f>
        <v/>
      </c>
      <c r="I19" s="26">
        <f>IF(B19="","",B19*E19)</f>
        <v/>
      </c>
      <c r="J19" s="26">
        <f>IF(B19="","",E19*B19)</f>
        <v/>
      </c>
      <c r="K19" s="26">
        <f>IF(B19="","",C19*D19)</f>
        <v/>
      </c>
    </row>
    <row r="20">
      <c r="A20" s="19" t="n"/>
      <c r="B20" s="19" t="n"/>
      <c r="C20" s="19" t="n"/>
      <c r="D20" s="19" t="n"/>
      <c r="E20" s="19" t="n"/>
      <c r="F20" s="26">
        <f>IF(B20="","",D20*C20)</f>
        <v/>
      </c>
      <c r="G20" s="26">
        <f>IF(B20="","",B20*C20)</f>
        <v/>
      </c>
      <c r="H20" s="26">
        <f>IF(B20="","",D20*E20)</f>
        <v/>
      </c>
      <c r="I20" s="26">
        <f>IF(B20="","",B20*E20)</f>
        <v/>
      </c>
      <c r="J20" s="26">
        <f>IF(B20="","",E20*B20)</f>
        <v/>
      </c>
      <c r="K20" s="26">
        <f>IF(B20="","",C20*D20)</f>
        <v/>
      </c>
    </row>
    <row r="21">
      <c r="A21" s="19" t="n"/>
      <c r="B21" s="19" t="n"/>
      <c r="C21" s="19" t="n"/>
      <c r="D21" s="19" t="n"/>
      <c r="E21" s="19" t="n"/>
      <c r="F21" s="26">
        <f>IF(B21="","",D21*C21)</f>
        <v/>
      </c>
      <c r="G21" s="26">
        <f>IF(B21="","",B21*C21)</f>
        <v/>
      </c>
      <c r="H21" s="26">
        <f>IF(B21="","",D21*E21)</f>
        <v/>
      </c>
      <c r="I21" s="26">
        <f>IF(B21="","",B21*E21)</f>
        <v/>
      </c>
      <c r="J21" s="26">
        <f>IF(B21="","",E21*B21)</f>
        <v/>
      </c>
      <c r="K21" s="26">
        <f>IF(B21="","",C21*D21)</f>
        <v/>
      </c>
    </row>
    <row r="22">
      <c r="A22" s="19" t="n"/>
      <c r="B22" s="19" t="n"/>
      <c r="C22" s="19" t="n"/>
      <c r="D22" s="19" t="n"/>
      <c r="E22" s="19" t="n"/>
      <c r="F22" s="26">
        <f>IF(B22="","",D22*C22)</f>
        <v/>
      </c>
      <c r="G22" s="26">
        <f>IF(B22="","",B22*C22)</f>
        <v/>
      </c>
      <c r="H22" s="26">
        <f>IF(B22="","",D22*E22)</f>
        <v/>
      </c>
      <c r="I22" s="26">
        <f>IF(B22="","",B22*E22)</f>
        <v/>
      </c>
      <c r="J22" s="26">
        <f>IF(B22="","",E22*B22)</f>
        <v/>
      </c>
      <c r="K22" s="26">
        <f>IF(B22="","",C22*D22)</f>
        <v/>
      </c>
    </row>
    <row r="23">
      <c r="A23" s="19" t="n"/>
      <c r="B23" s="19" t="n"/>
      <c r="C23" s="19" t="n"/>
      <c r="D23" s="19" t="n"/>
      <c r="E23" s="19" t="n"/>
      <c r="F23" s="26">
        <f>IF(B23="","",D23*C23)</f>
        <v/>
      </c>
      <c r="G23" s="26">
        <f>IF(B23="","",B23*C23)</f>
        <v/>
      </c>
      <c r="H23" s="26">
        <f>IF(B23="","",D23*E23)</f>
        <v/>
      </c>
      <c r="I23" s="26">
        <f>IF(B23="","",B23*E23)</f>
        <v/>
      </c>
      <c r="J23" s="26">
        <f>IF(B23="","",E23*B23)</f>
        <v/>
      </c>
      <c r="K23" s="26">
        <f>IF(B23="","",C23*D23)</f>
        <v/>
      </c>
    </row>
    <row r="24">
      <c r="A24" s="19" t="n"/>
      <c r="B24" s="19" t="n"/>
      <c r="C24" s="19" t="n"/>
      <c r="D24" s="19" t="n"/>
      <c r="E24" s="19" t="n"/>
      <c r="F24" s="26">
        <f>IF(B24="","",D24*C24)</f>
        <v/>
      </c>
      <c r="G24" s="26">
        <f>IF(B24="","",B24*C24)</f>
        <v/>
      </c>
      <c r="H24" s="26">
        <f>IF(B24="","",D24*E24)</f>
        <v/>
      </c>
      <c r="I24" s="26">
        <f>IF(B24="","",B24*E24)</f>
        <v/>
      </c>
      <c r="J24" s="26">
        <f>IF(B24="","",E24*B24)</f>
        <v/>
      </c>
      <c r="K24" s="26">
        <f>IF(B24="","",C24*D24)</f>
        <v/>
      </c>
    </row>
    <row r="25">
      <c r="A25" s="19" t="n"/>
      <c r="B25" s="19" t="n"/>
      <c r="C25" s="19" t="n"/>
      <c r="D25" s="19" t="n"/>
      <c r="E25" s="19" t="n"/>
      <c r="F25" s="26">
        <f>IF(B25="","",D25*C25)</f>
        <v/>
      </c>
      <c r="G25" s="26">
        <f>IF(B25="","",B25*C25)</f>
        <v/>
      </c>
      <c r="H25" s="26">
        <f>IF(B25="","",D25*E25)</f>
        <v/>
      </c>
      <c r="I25" s="26">
        <f>IF(B25="","",B25*E25)</f>
        <v/>
      </c>
      <c r="J25" s="26">
        <f>IF(B25="","",E25*B25)</f>
        <v/>
      </c>
      <c r="K25" s="26">
        <f>IF(B25="","",C25*D25)</f>
        <v/>
      </c>
    </row>
    <row r="26">
      <c r="A26" s="19" t="n"/>
      <c r="B26" s="19" t="n"/>
      <c r="C26" s="19" t="n"/>
      <c r="D26" s="19" t="n"/>
      <c r="E26" s="19" t="n"/>
      <c r="F26" s="26">
        <f>IF(B26="","",D26*C26)</f>
        <v/>
      </c>
      <c r="G26" s="26">
        <f>IF(B26="","",B26*C26)</f>
        <v/>
      </c>
      <c r="H26" s="26">
        <f>IF(B26="","",D26*E26)</f>
        <v/>
      </c>
      <c r="I26" s="26">
        <f>IF(B26="","",B26*E26)</f>
        <v/>
      </c>
      <c r="J26" s="26">
        <f>IF(B26="","",E26*B26)</f>
        <v/>
      </c>
      <c r="K26" s="26">
        <f>IF(B26="","",C26*D26)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86F00"/>
    <outlinePr summaryBelow="1" summaryRight="1"/>
    <pageSetUpPr/>
  </sheetPr>
  <dimension ref="A1:I36"/>
  <sheetViews>
    <sheetView zoomScale="115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3" customWidth="1" min="7" max="7"/>
    <col width="40" customWidth="1" min="8" max="8"/>
    <col width="16" customWidth="1" min="9" max="9"/>
  </cols>
  <sheetData>
    <row r="1" ht="30" customHeight="1">
      <c r="A1" s="35" t="inlineStr">
        <is>
          <t>L · Deflactar con el IPC (valores reales)</t>
        </is>
      </c>
      <c r="B1" s="36" t="n"/>
      <c r="C1" s="36" t="n"/>
      <c r="D1" s="36" t="n"/>
      <c r="E1" s="36" t="n"/>
      <c r="F1" s="36" t="n"/>
      <c r="G1" s="36" t="n"/>
      <c r="H1" s="36" t="n"/>
    </row>
    <row r="2">
      <c r="A2" s="7" t="inlineStr">
        <is>
          <t>Años en A, valores nominales (salario, alquiler…) en B e IPC en C. Elige el año de referencia en H5.</t>
        </is>
      </c>
    </row>
    <row r="3">
      <c r="A3" s="14" t="inlineStr">
        <is>
          <t>Valor real = nominal / IPC × IPC del año de referencia. Sale en euros del año de referencia.</t>
        </is>
      </c>
    </row>
    <row r="4">
      <c r="A4" s="15" t="inlineStr">
        <is>
          <t>Amarillo: escribe o pega aquí tus datos.  Verde: resultados (no los toques).</t>
        </is>
      </c>
    </row>
    <row r="5">
      <c r="H5" s="16" t="inlineStr">
        <is>
          <t>Año de referencia →</t>
        </is>
      </c>
      <c r="I5" s="17" t="n">
        <v>2015</v>
      </c>
    </row>
    <row r="6">
      <c r="A6" s="3" t="inlineStr">
        <is>
          <t>Año</t>
        </is>
      </c>
      <c r="B6" s="3" t="inlineStr">
        <is>
          <t>Nominal</t>
        </is>
      </c>
      <c r="C6" s="3" t="inlineStr">
        <is>
          <t>IPC</t>
        </is>
      </c>
      <c r="D6" s="3" t="inlineStr">
        <is>
          <t>Real (€ año ref.)</t>
        </is>
      </c>
      <c r="E6" s="3" t="inlineStr">
        <is>
          <t>Índice nominal</t>
        </is>
      </c>
      <c r="F6" s="3" t="inlineStr">
        <is>
          <t>Índice real</t>
        </is>
      </c>
    </row>
    <row r="7">
      <c r="A7" s="19" t="n"/>
      <c r="B7" s="19" t="n"/>
      <c r="C7" s="19" t="n"/>
      <c r="D7" s="22">
        <f>IF(B7="","",B7/C7*INDEX($C$7:$C$36,MATCH($I$5,$A$7:$A$36,0)))</f>
        <v/>
      </c>
      <c r="E7" s="22">
        <f>IF(B7="","",B7/INDEX($B$7:$B$36,MATCH($I$5,$A$7:$A$36,0))*100)</f>
        <v/>
      </c>
      <c r="F7" s="22">
        <f>IF(B7="","",D7/INDEX($D$7:$D$36,MATCH($I$5,$A$7:$A$36,0))*100)</f>
        <v/>
      </c>
      <c r="H7" s="18" t="inlineStr">
        <is>
          <t>Variación nominal (primero → último)</t>
        </is>
      </c>
      <c r="I7" s="28">
        <f>IFERROR(INDEX(B7:B36,COUNT(B7:B36))/B7-1,"")</f>
        <v/>
      </c>
    </row>
    <row r="8">
      <c r="A8" s="19" t="n"/>
      <c r="B8" s="19" t="n"/>
      <c r="C8" s="19" t="n"/>
      <c r="D8" s="22">
        <f>IF(B8="","",B8/C8*INDEX($C$7:$C$36,MATCH($I$5,$A$7:$A$36,0)))</f>
        <v/>
      </c>
      <c r="E8" s="22">
        <f>IF(B8="","",B8/INDEX($B$7:$B$36,MATCH($I$5,$A$7:$A$36,0))*100)</f>
        <v/>
      </c>
      <c r="F8" s="22">
        <f>IF(B8="","",D8/INDEX($D$7:$D$36,MATCH($I$5,$A$7:$A$36,0))*100)</f>
        <v/>
      </c>
      <c r="H8" s="18" t="inlineStr">
        <is>
          <t>Variación real (primero → último)</t>
        </is>
      </c>
      <c r="I8" s="28">
        <f>IFERROR(INDEX(D7:D36,COUNT(B7:B36))/D7-1,"")</f>
        <v/>
      </c>
    </row>
    <row r="9">
      <c r="A9" s="19" t="n"/>
      <c r="B9" s="19" t="n"/>
      <c r="C9" s="19" t="n"/>
      <c r="D9" s="22">
        <f>IF(B9="","",B9/C9*INDEX($C$7:$C$36,MATCH($I$5,$A$7:$A$36,0)))</f>
        <v/>
      </c>
      <c r="E9" s="22">
        <f>IF(B9="","",B9/INDEX($B$7:$B$36,MATCH($I$5,$A$7:$A$36,0))*100)</f>
        <v/>
      </c>
      <c r="F9" s="22">
        <f>IF(B9="","",D9/INDEX($D$7:$D$36,MATCH($I$5,$A$7:$A$36,0))*100)</f>
        <v/>
      </c>
      <c r="H9" s="18" t="inlineStr">
        <is>
          <t>Inflación del periodo</t>
        </is>
      </c>
      <c r="I9" s="28">
        <f>IFERROR(INDEX(C7:C36,COUNT(B7:B36))/C7-1,"")</f>
        <v/>
      </c>
    </row>
    <row r="10">
      <c r="A10" s="19" t="n"/>
      <c r="B10" s="19" t="n"/>
      <c r="C10" s="19" t="n"/>
      <c r="D10" s="22">
        <f>IF(B10="","",B10/C10*INDEX($C$7:$C$36,MATCH($I$5,$A$7:$A$36,0)))</f>
        <v/>
      </c>
      <c r="E10" s="22">
        <f>IF(B10="","",B10/INDEX($B$7:$B$36,MATCH($I$5,$A$7:$A$36,0))*100)</f>
        <v/>
      </c>
      <c r="F10" s="22">
        <f>IF(B10="","",D10/INDEX($D$7:$D$36,MATCH($I$5,$A$7:$A$36,0))*100)</f>
        <v/>
      </c>
      <c r="H10" s="18" t="inlineStr">
        <is>
          <t>Para mantener el poder adquisitivo, el último año debería valer</t>
        </is>
      </c>
      <c r="I10" s="42">
        <f>IFERROR(B7*INDEX(C7:C36,COUNT(B7:B36))/C7,"")</f>
        <v/>
      </c>
    </row>
    <row r="11">
      <c r="A11" s="19" t="n"/>
      <c r="B11" s="19" t="n"/>
      <c r="C11" s="19" t="n"/>
      <c r="D11" s="22">
        <f>IF(B11="","",B11/C11*INDEX($C$7:$C$36,MATCH($I$5,$A$7:$A$36,0)))</f>
        <v/>
      </c>
      <c r="E11" s="22">
        <f>IF(B11="","",B11/INDEX($B$7:$B$36,MATCH($I$5,$A$7:$A$36,0))*100)</f>
        <v/>
      </c>
      <c r="F11" s="22">
        <f>IF(B11="","",D11/INDEX($D$7:$D$36,MATCH($I$5,$A$7:$A$36,0))*100)</f>
        <v/>
      </c>
    </row>
    <row r="12">
      <c r="A12" s="19" t="n"/>
      <c r="B12" s="19" t="n"/>
      <c r="C12" s="19" t="n"/>
      <c r="D12" s="22">
        <f>IF(B12="","",B12/C12*INDEX($C$7:$C$36,MATCH($I$5,$A$7:$A$36,0)))</f>
        <v/>
      </c>
      <c r="E12" s="22">
        <f>IF(B12="","",B12/INDEX($B$7:$B$36,MATCH($I$5,$A$7:$A$36,0))*100)</f>
        <v/>
      </c>
      <c r="F12" s="22">
        <f>IF(B12="","",D12/INDEX($D$7:$D$36,MATCH($I$5,$A$7:$A$36,0))*100)</f>
        <v/>
      </c>
    </row>
    <row r="13">
      <c r="A13" s="19" t="n"/>
      <c r="B13" s="19" t="n"/>
      <c r="C13" s="19" t="n"/>
      <c r="D13" s="22">
        <f>IF(B13="","",B13/C13*INDEX($C$7:$C$36,MATCH($I$5,$A$7:$A$36,0)))</f>
        <v/>
      </c>
      <c r="E13" s="22">
        <f>IF(B13="","",B13/INDEX($B$7:$B$36,MATCH($I$5,$A$7:$A$36,0))*100)</f>
        <v/>
      </c>
      <c r="F13" s="22">
        <f>IF(B13="","",D13/INDEX($D$7:$D$36,MATCH($I$5,$A$7:$A$36,0))*100)</f>
        <v/>
      </c>
    </row>
    <row r="14">
      <c r="A14" s="19" t="n"/>
      <c r="B14" s="19" t="n"/>
      <c r="C14" s="19" t="n"/>
      <c r="D14" s="22">
        <f>IF(B14="","",B14/C14*INDEX($C$7:$C$36,MATCH($I$5,$A$7:$A$36,0)))</f>
        <v/>
      </c>
      <c r="E14" s="22">
        <f>IF(B14="","",B14/INDEX($B$7:$B$36,MATCH($I$5,$A$7:$A$36,0))*100)</f>
        <v/>
      </c>
      <c r="F14" s="22">
        <f>IF(B14="","",D14/INDEX($D$7:$D$36,MATCH($I$5,$A$7:$A$36,0))*100)</f>
        <v/>
      </c>
    </row>
    <row r="15">
      <c r="A15" s="19" t="n"/>
      <c r="B15" s="19" t="n"/>
      <c r="C15" s="19" t="n"/>
      <c r="D15" s="22">
        <f>IF(B15="","",B15/C15*INDEX($C$7:$C$36,MATCH($I$5,$A$7:$A$36,0)))</f>
        <v/>
      </c>
      <c r="E15" s="22">
        <f>IF(B15="","",B15/INDEX($B$7:$B$36,MATCH($I$5,$A$7:$A$36,0))*100)</f>
        <v/>
      </c>
      <c r="F15" s="22">
        <f>IF(B15="","",D15/INDEX($D$7:$D$36,MATCH($I$5,$A$7:$A$36,0))*100)</f>
        <v/>
      </c>
    </row>
    <row r="16">
      <c r="A16" s="19" t="n"/>
      <c r="B16" s="19" t="n"/>
      <c r="C16" s="19" t="n"/>
      <c r="D16" s="22">
        <f>IF(B16="","",B16/C16*INDEX($C$7:$C$36,MATCH($I$5,$A$7:$A$36,0)))</f>
        <v/>
      </c>
      <c r="E16" s="22">
        <f>IF(B16="","",B16/INDEX($B$7:$B$36,MATCH($I$5,$A$7:$A$36,0))*100)</f>
        <v/>
      </c>
      <c r="F16" s="22">
        <f>IF(B16="","",D16/INDEX($D$7:$D$36,MATCH($I$5,$A$7:$A$36,0))*100)</f>
        <v/>
      </c>
    </row>
    <row r="17">
      <c r="A17" s="19" t="n"/>
      <c r="B17" s="19" t="n"/>
      <c r="C17" s="19" t="n"/>
      <c r="D17" s="22">
        <f>IF(B17="","",B17/C17*INDEX($C$7:$C$36,MATCH($I$5,$A$7:$A$36,0)))</f>
        <v/>
      </c>
      <c r="E17" s="22">
        <f>IF(B17="","",B17/INDEX($B$7:$B$36,MATCH($I$5,$A$7:$A$36,0))*100)</f>
        <v/>
      </c>
      <c r="F17" s="22">
        <f>IF(B17="","",D17/INDEX($D$7:$D$36,MATCH($I$5,$A$7:$A$36,0))*100)</f>
        <v/>
      </c>
    </row>
    <row r="18">
      <c r="A18" s="19" t="n"/>
      <c r="B18" s="19" t="n"/>
      <c r="C18" s="19" t="n"/>
      <c r="D18" s="22">
        <f>IF(B18="","",B18/C18*INDEX($C$7:$C$36,MATCH($I$5,$A$7:$A$36,0)))</f>
        <v/>
      </c>
      <c r="E18" s="22">
        <f>IF(B18="","",B18/INDEX($B$7:$B$36,MATCH($I$5,$A$7:$A$36,0))*100)</f>
        <v/>
      </c>
      <c r="F18" s="22">
        <f>IF(B18="","",D18/INDEX($D$7:$D$36,MATCH($I$5,$A$7:$A$36,0))*100)</f>
        <v/>
      </c>
    </row>
    <row r="19">
      <c r="A19" s="19" t="n"/>
      <c r="B19" s="19" t="n"/>
      <c r="C19" s="19" t="n"/>
      <c r="D19" s="22">
        <f>IF(B19="","",B19/C19*INDEX($C$7:$C$36,MATCH($I$5,$A$7:$A$36,0)))</f>
        <v/>
      </c>
      <c r="E19" s="22">
        <f>IF(B19="","",B19/INDEX($B$7:$B$36,MATCH($I$5,$A$7:$A$36,0))*100)</f>
        <v/>
      </c>
      <c r="F19" s="22">
        <f>IF(B19="","",D19/INDEX($D$7:$D$36,MATCH($I$5,$A$7:$A$36,0))*100)</f>
        <v/>
      </c>
    </row>
    <row r="20">
      <c r="A20" s="19" t="n"/>
      <c r="B20" s="19" t="n"/>
      <c r="C20" s="19" t="n"/>
      <c r="D20" s="22">
        <f>IF(B20="","",B20/C20*INDEX($C$7:$C$36,MATCH($I$5,$A$7:$A$36,0)))</f>
        <v/>
      </c>
      <c r="E20" s="22">
        <f>IF(B20="","",B20/INDEX($B$7:$B$36,MATCH($I$5,$A$7:$A$36,0))*100)</f>
        <v/>
      </c>
      <c r="F20" s="22">
        <f>IF(B20="","",D20/INDEX($D$7:$D$36,MATCH($I$5,$A$7:$A$36,0))*100)</f>
        <v/>
      </c>
    </row>
    <row r="21">
      <c r="A21" s="19" t="n"/>
      <c r="B21" s="19" t="n"/>
      <c r="C21" s="19" t="n"/>
      <c r="D21" s="22">
        <f>IF(B21="","",B21/C21*INDEX($C$7:$C$36,MATCH($I$5,$A$7:$A$36,0)))</f>
        <v/>
      </c>
      <c r="E21" s="22">
        <f>IF(B21="","",B21/INDEX($B$7:$B$36,MATCH($I$5,$A$7:$A$36,0))*100)</f>
        <v/>
      </c>
      <c r="F21" s="22">
        <f>IF(B21="","",D21/INDEX($D$7:$D$36,MATCH($I$5,$A$7:$A$36,0))*100)</f>
        <v/>
      </c>
    </row>
    <row r="22">
      <c r="A22" s="19" t="n"/>
      <c r="B22" s="19" t="n"/>
      <c r="C22" s="19" t="n"/>
      <c r="D22" s="22">
        <f>IF(B22="","",B22/C22*INDEX($C$7:$C$36,MATCH($I$5,$A$7:$A$36,0)))</f>
        <v/>
      </c>
      <c r="E22" s="22">
        <f>IF(B22="","",B22/INDEX($B$7:$B$36,MATCH($I$5,$A$7:$A$36,0))*100)</f>
        <v/>
      </c>
      <c r="F22" s="22">
        <f>IF(B22="","",D22/INDEX($D$7:$D$36,MATCH($I$5,$A$7:$A$36,0))*100)</f>
        <v/>
      </c>
    </row>
    <row r="23">
      <c r="A23" s="19" t="n"/>
      <c r="B23" s="19" t="n"/>
      <c r="C23" s="19" t="n"/>
      <c r="D23" s="22">
        <f>IF(B23="","",B23/C23*INDEX($C$7:$C$36,MATCH($I$5,$A$7:$A$36,0)))</f>
        <v/>
      </c>
      <c r="E23" s="22">
        <f>IF(B23="","",B23/INDEX($B$7:$B$36,MATCH($I$5,$A$7:$A$36,0))*100)</f>
        <v/>
      </c>
      <c r="F23" s="22">
        <f>IF(B23="","",D23/INDEX($D$7:$D$36,MATCH($I$5,$A$7:$A$36,0))*100)</f>
        <v/>
      </c>
    </row>
    <row r="24">
      <c r="A24" s="19" t="n"/>
      <c r="B24" s="19" t="n"/>
      <c r="C24" s="19" t="n"/>
      <c r="D24" s="22">
        <f>IF(B24="","",B24/C24*INDEX($C$7:$C$36,MATCH($I$5,$A$7:$A$36,0)))</f>
        <v/>
      </c>
      <c r="E24" s="22">
        <f>IF(B24="","",B24/INDEX($B$7:$B$36,MATCH($I$5,$A$7:$A$36,0))*100)</f>
        <v/>
      </c>
      <c r="F24" s="22">
        <f>IF(B24="","",D24/INDEX($D$7:$D$36,MATCH($I$5,$A$7:$A$36,0))*100)</f>
        <v/>
      </c>
    </row>
    <row r="25">
      <c r="A25" s="19" t="n"/>
      <c r="B25" s="19" t="n"/>
      <c r="C25" s="19" t="n"/>
      <c r="D25" s="22">
        <f>IF(B25="","",B25/C25*INDEX($C$7:$C$36,MATCH($I$5,$A$7:$A$36,0)))</f>
        <v/>
      </c>
      <c r="E25" s="22">
        <f>IF(B25="","",B25/INDEX($B$7:$B$36,MATCH($I$5,$A$7:$A$36,0))*100)</f>
        <v/>
      </c>
      <c r="F25" s="22">
        <f>IF(B25="","",D25/INDEX($D$7:$D$36,MATCH($I$5,$A$7:$A$36,0))*100)</f>
        <v/>
      </c>
    </row>
    <row r="26">
      <c r="A26" s="19" t="n"/>
      <c r="B26" s="19" t="n"/>
      <c r="C26" s="19" t="n"/>
      <c r="D26" s="22">
        <f>IF(B26="","",B26/C26*INDEX($C$7:$C$36,MATCH($I$5,$A$7:$A$36,0)))</f>
        <v/>
      </c>
      <c r="E26" s="22">
        <f>IF(B26="","",B26/INDEX($B$7:$B$36,MATCH($I$5,$A$7:$A$36,0))*100)</f>
        <v/>
      </c>
      <c r="F26" s="22">
        <f>IF(B26="","",D26/INDEX($D$7:$D$36,MATCH($I$5,$A$7:$A$36,0))*100)</f>
        <v/>
      </c>
    </row>
    <row r="27">
      <c r="A27" s="19" t="n"/>
      <c r="B27" s="19" t="n"/>
      <c r="C27" s="19" t="n"/>
      <c r="D27" s="22">
        <f>IF(B27="","",B27/C27*INDEX($C$7:$C$36,MATCH($I$5,$A$7:$A$36,0)))</f>
        <v/>
      </c>
      <c r="E27" s="22">
        <f>IF(B27="","",B27/INDEX($B$7:$B$36,MATCH($I$5,$A$7:$A$36,0))*100)</f>
        <v/>
      </c>
      <c r="F27" s="22">
        <f>IF(B27="","",D27/INDEX($D$7:$D$36,MATCH($I$5,$A$7:$A$36,0))*100)</f>
        <v/>
      </c>
    </row>
    <row r="28">
      <c r="A28" s="19" t="n"/>
      <c r="B28" s="19" t="n"/>
      <c r="C28" s="19" t="n"/>
      <c r="D28" s="22">
        <f>IF(B28="","",B28/C28*INDEX($C$7:$C$36,MATCH($I$5,$A$7:$A$36,0)))</f>
        <v/>
      </c>
      <c r="E28" s="22">
        <f>IF(B28="","",B28/INDEX($B$7:$B$36,MATCH($I$5,$A$7:$A$36,0))*100)</f>
        <v/>
      </c>
      <c r="F28" s="22">
        <f>IF(B28="","",D28/INDEX($D$7:$D$36,MATCH($I$5,$A$7:$A$36,0))*100)</f>
        <v/>
      </c>
    </row>
    <row r="29">
      <c r="A29" s="19" t="n"/>
      <c r="B29" s="19" t="n"/>
      <c r="C29" s="19" t="n"/>
      <c r="D29" s="22">
        <f>IF(B29="","",B29/C29*INDEX($C$7:$C$36,MATCH($I$5,$A$7:$A$36,0)))</f>
        <v/>
      </c>
      <c r="E29" s="22">
        <f>IF(B29="","",B29/INDEX($B$7:$B$36,MATCH($I$5,$A$7:$A$36,0))*100)</f>
        <v/>
      </c>
      <c r="F29" s="22">
        <f>IF(B29="","",D29/INDEX($D$7:$D$36,MATCH($I$5,$A$7:$A$36,0))*100)</f>
        <v/>
      </c>
    </row>
    <row r="30">
      <c r="A30" s="19" t="n"/>
      <c r="B30" s="19" t="n"/>
      <c r="C30" s="19" t="n"/>
      <c r="D30" s="22">
        <f>IF(B30="","",B30/C30*INDEX($C$7:$C$36,MATCH($I$5,$A$7:$A$36,0)))</f>
        <v/>
      </c>
      <c r="E30" s="22">
        <f>IF(B30="","",B30/INDEX($B$7:$B$36,MATCH($I$5,$A$7:$A$36,0))*100)</f>
        <v/>
      </c>
      <c r="F30" s="22">
        <f>IF(B30="","",D30/INDEX($D$7:$D$36,MATCH($I$5,$A$7:$A$36,0))*100)</f>
        <v/>
      </c>
    </row>
    <row r="31">
      <c r="A31" s="19" t="n"/>
      <c r="B31" s="19" t="n"/>
      <c r="C31" s="19" t="n"/>
      <c r="D31" s="22">
        <f>IF(B31="","",B31/C31*INDEX($C$7:$C$36,MATCH($I$5,$A$7:$A$36,0)))</f>
        <v/>
      </c>
      <c r="E31" s="22">
        <f>IF(B31="","",B31/INDEX($B$7:$B$36,MATCH($I$5,$A$7:$A$36,0))*100)</f>
        <v/>
      </c>
      <c r="F31" s="22">
        <f>IF(B31="","",D31/INDEX($D$7:$D$36,MATCH($I$5,$A$7:$A$36,0))*100)</f>
        <v/>
      </c>
    </row>
    <row r="32">
      <c r="A32" s="19" t="n"/>
      <c r="B32" s="19" t="n"/>
      <c r="C32" s="19" t="n"/>
      <c r="D32" s="22">
        <f>IF(B32="","",B32/C32*INDEX($C$7:$C$36,MATCH($I$5,$A$7:$A$36,0)))</f>
        <v/>
      </c>
      <c r="E32" s="22">
        <f>IF(B32="","",B32/INDEX($B$7:$B$36,MATCH($I$5,$A$7:$A$36,0))*100)</f>
        <v/>
      </c>
      <c r="F32" s="22">
        <f>IF(B32="","",D32/INDEX($D$7:$D$36,MATCH($I$5,$A$7:$A$36,0))*100)</f>
        <v/>
      </c>
    </row>
    <row r="33">
      <c r="A33" s="19" t="n"/>
      <c r="B33" s="19" t="n"/>
      <c r="C33" s="19" t="n"/>
      <c r="D33" s="22">
        <f>IF(B33="","",B33/C33*INDEX($C$7:$C$36,MATCH($I$5,$A$7:$A$36,0)))</f>
        <v/>
      </c>
      <c r="E33" s="22">
        <f>IF(B33="","",B33/INDEX($B$7:$B$36,MATCH($I$5,$A$7:$A$36,0))*100)</f>
        <v/>
      </c>
      <c r="F33" s="22">
        <f>IF(B33="","",D33/INDEX($D$7:$D$36,MATCH($I$5,$A$7:$A$36,0))*100)</f>
        <v/>
      </c>
    </row>
    <row r="34">
      <c r="A34" s="19" t="n"/>
      <c r="B34" s="19" t="n"/>
      <c r="C34" s="19" t="n"/>
      <c r="D34" s="22">
        <f>IF(B34="","",B34/C34*INDEX($C$7:$C$36,MATCH($I$5,$A$7:$A$36,0)))</f>
        <v/>
      </c>
      <c r="E34" s="22">
        <f>IF(B34="","",B34/INDEX($B$7:$B$36,MATCH($I$5,$A$7:$A$36,0))*100)</f>
        <v/>
      </c>
      <c r="F34" s="22">
        <f>IF(B34="","",D34/INDEX($D$7:$D$36,MATCH($I$5,$A$7:$A$36,0))*100)</f>
        <v/>
      </c>
    </row>
    <row r="35">
      <c r="A35" s="19" t="n"/>
      <c r="B35" s="19" t="n"/>
      <c r="C35" s="19" t="n"/>
      <c r="D35" s="22">
        <f>IF(B35="","",B35/C35*INDEX($C$7:$C$36,MATCH($I$5,$A$7:$A$36,0)))</f>
        <v/>
      </c>
      <c r="E35" s="22">
        <f>IF(B35="","",B35/INDEX($B$7:$B$36,MATCH($I$5,$A$7:$A$36,0))*100)</f>
        <v/>
      </c>
      <c r="F35" s="22">
        <f>IF(B35="","",D35/INDEX($D$7:$D$36,MATCH($I$5,$A$7:$A$36,0))*100)</f>
        <v/>
      </c>
    </row>
    <row r="36">
      <c r="A36" s="19" t="n"/>
      <c r="B36" s="19" t="n"/>
      <c r="C36" s="19" t="n"/>
      <c r="D36" s="22">
        <f>IF(B36="","",B36/C36*INDEX($C$7:$C$36,MATCH($I$5,$A$7:$A$36,0)))</f>
        <v/>
      </c>
      <c r="E36" s="22">
        <f>IF(B36="","",B36/INDEX($B$7:$B$36,MATCH($I$5,$A$7:$A$36,0))*100)</f>
        <v/>
      </c>
      <c r="F36" s="22">
        <f>IF(B36="","",D36/INDEX($D$7:$D$36,MATCH($I$5,$A$7:$A$36,0))*100)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2026-10-03T12:26:25Z</dcterms:created>
  <dcterms:modified xmlns:dcterms="http://purl.org/dc/terms/" xmlns:xsi="http://www.w3.org/2001/XMLSchema-instance" xsi:type="dcterms:W3CDTF">2026-10-03T12:26:49Z</dcterms:modified>
</cp:coreProperties>
</file>