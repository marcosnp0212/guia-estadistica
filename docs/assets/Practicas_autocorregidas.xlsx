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_Discreta_N1" sheetId="2" state="visible" r:id="rId2"/>
    <sheet xmlns:r="http://schemas.openxmlformats.org/officeDocument/2006/relationships" name="1_Discreta_N2" sheetId="3" state="visible" r:id="rId3"/>
    <sheet xmlns:r="http://schemas.openxmlformats.org/officeDocument/2006/relationships" name="1_Discreta_N3" sheetId="4" state="visible" r:id="rId4"/>
    <sheet xmlns:r="http://schemas.openxmlformats.org/officeDocument/2006/relationships" name="2_Intervalos_N1" sheetId="5" state="visible" r:id="rId5"/>
    <sheet xmlns:r="http://schemas.openxmlformats.org/officeDocument/2006/relationships" name="2_Intervalos_N2" sheetId="6" state="visible" r:id="rId6"/>
    <sheet xmlns:r="http://schemas.openxmlformats.org/officeDocument/2006/relationships" name="2_Intervalos_N3" sheetId="7" state="visible" r:id="rId7"/>
    <sheet xmlns:r="http://schemas.openxmlformats.org/officeDocument/2006/relationships" name="3_Grupos_N1" sheetId="8" state="visible" r:id="rId8"/>
    <sheet xmlns:r="http://schemas.openxmlformats.org/officeDocument/2006/relationships" name="3_Grupos_N2" sheetId="9" state="visible" r:id="rId9"/>
    <sheet xmlns:r="http://schemas.openxmlformats.org/officeDocument/2006/relationships" name="3_Grupos_N3" sheetId="10" state="visible" r:id="rId10"/>
    <sheet xmlns:r="http://schemas.openxmlformats.org/officeDocument/2006/relationships" name="4_Contingencia_N1" sheetId="11" state="visible" r:id="rId11"/>
    <sheet xmlns:r="http://schemas.openxmlformats.org/officeDocument/2006/relationships" name="4_Contingencia_N2" sheetId="12" state="visible" r:id="rId12"/>
    <sheet xmlns:r="http://schemas.openxmlformats.org/officeDocument/2006/relationships" name="4_Contingencia_N3" sheetId="13" state="visible" r:id="rId13"/>
    <sheet xmlns:r="http://schemas.openxmlformats.org/officeDocument/2006/relationships" name="5_Regresion_N1" sheetId="14" state="visible" r:id="rId14"/>
    <sheet xmlns:r="http://schemas.openxmlformats.org/officeDocument/2006/relationships" name="5_Regresion_N2" sheetId="15" state="visible" r:id="rId15"/>
    <sheet xmlns:r="http://schemas.openxmlformats.org/officeDocument/2006/relationships" name="5_Regresion_N3" sheetId="16" state="visible" r:id="rId16"/>
    <sheet xmlns:r="http://schemas.openxmlformats.org/officeDocument/2006/relationships" name="6_Reg_resumen_N1" sheetId="17" state="visible" r:id="rId17"/>
    <sheet xmlns:r="http://schemas.openxmlformats.org/officeDocument/2006/relationships" name="6_Reg_resumen_N2" sheetId="18" state="visible" r:id="rId18"/>
    <sheet xmlns:r="http://schemas.openxmlformats.org/officeDocument/2006/relationships" name="6_Reg_resumen_N3" sheetId="19" state="visible" r:id="rId19"/>
    <sheet xmlns:r="http://schemas.openxmlformats.org/officeDocument/2006/relationships" name="7_Indices_N1" sheetId="20" state="visible" r:id="rId20"/>
    <sheet xmlns:r="http://schemas.openxmlformats.org/officeDocument/2006/relationships" name="7_Indices_N2" sheetId="21" state="visible" r:id="rId21"/>
    <sheet xmlns:r="http://schemas.openxmlformats.org/officeDocument/2006/relationships" name="7_Indices_N3" sheetId="22" state="visible" r:id="rId22"/>
    <sheet xmlns:r="http://schemas.openxmlformats.org/officeDocument/2006/relationships" name="8_Laspeyres_IPC_N1" sheetId="23" state="visible" r:id="rId23"/>
    <sheet xmlns:r="http://schemas.openxmlformats.org/officeDocument/2006/relationships" name="8_Laspeyres_IPC_N2" sheetId="24" state="visible" r:id="rId24"/>
    <sheet xmlns:r="http://schemas.openxmlformats.org/officeDocument/2006/relationships" name="8_Laspeyres_IPC_N3" sheetId="25" state="visible" r:id="rId25"/>
    <sheet xmlns:r="http://schemas.openxmlformats.org/officeDocument/2006/relationships" name="Claves" sheetId="26" state="veryHidden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5"/>
    </font>
    <font>
      <color rgb="004F5D65"/>
      <sz val="9"/>
    </font>
    <font>
      <b val="1"/>
      <color rgb="0026323A"/>
      <sz val="11"/>
    </font>
    <font>
      <b val="1"/>
    </font>
    <font>
      <b val="1"/>
      <color rgb="002F5FD0"/>
      <sz val="12"/>
    </font>
    <font>
      <i val="1"/>
      <color rgb="006B5800"/>
      <sz val="10"/>
    </font>
    <font>
      <b val="1"/>
      <color rgb="001F2A30"/>
    </font>
    <font>
      <i val="1"/>
      <color rgb="006B5800"/>
      <sz val="9"/>
    </font>
    <font>
      <b val="1"/>
      <color rgb="000F7A4E"/>
      <sz val="13"/>
    </font>
    <font>
      <b val="1"/>
      <color rgb="000F8A68"/>
      <sz val="12"/>
    </font>
    <font>
      <i val="1"/>
      <color rgb="0026323A"/>
      <sz val="11"/>
    </font>
    <font>
      <b val="1"/>
      <color rgb="00C2185B"/>
      <sz val="12"/>
    </font>
    <font>
      <b val="1"/>
      <color rgb="00A86F00"/>
      <sz val="12"/>
    </font>
    <font>
      <b val="1"/>
      <color rgb="001F2A30"/>
      <sz val="18"/>
    </font>
    <font>
      <color rgb="0026323A"/>
      <sz val="11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2F5FD0"/>
      </patternFill>
    </fill>
    <fill>
      <patternFill patternType="solid">
        <fgColor rgb="00E6EDFC"/>
      </patternFill>
    </fill>
    <fill>
      <patternFill patternType="solid">
        <fgColor rgb="00DDE5EA"/>
      </patternFill>
    </fill>
    <fill>
      <patternFill patternType="solid">
        <fgColor rgb="00FFF4C2"/>
      </patternFill>
    </fill>
    <fill>
      <patternFill patternType="solid">
        <fgColor rgb="000F8A68"/>
      </patternFill>
    </fill>
    <fill>
      <patternFill patternType="solid">
        <fgColor rgb="00C2185B"/>
      </patternFill>
    </fill>
    <fill>
      <patternFill patternType="solid">
        <fgColor rgb="00A86F00"/>
      </patternFill>
    </fill>
  </fills>
  <borders count="2">
    <border>
      <left/>
      <right/>
      <top/>
      <bottom/>
      <diagonal/>
    </border>
    <border>
      <left style="thin">
        <color rgb="00B7C2C8"/>
      </left>
      <right style="thin">
        <color rgb="00B7C2C8"/>
      </right>
      <top style="thin">
        <color rgb="00B7C2C8"/>
      </top>
      <bottom style="thin">
        <color rgb="00B7C2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7" fillId="4" borderId="0" pivotButton="0" quotePrefix="0" xfId="0"/>
    <xf numFmtId="0" fontId="16" fillId="0" borderId="0" pivotButton="0" quotePrefix="0" xfId="0"/>
    <xf numFmtId="0" fontId="0" fillId="0" borderId="0" applyAlignment="1" pivotButton="0" quotePrefix="0" xfId="0">
      <alignment horizontal="right"/>
    </xf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0" fontId="9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wrapText="1"/>
    </xf>
    <xf numFmtId="0" fontId="0" fillId="5" borderId="1" pivotButton="0" quotePrefix="0" xfId="0"/>
    <xf numFmtId="0" fontId="4" fillId="0" borderId="0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6" borderId="0" applyAlignment="1" pivotButton="0" quotePrefix="0" xfId="0">
      <alignment vertical="center"/>
    </xf>
    <xf numFmtId="0" fontId="0" fillId="6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" fillId="7" borderId="0" applyAlignment="1" pivotButton="0" quotePrefix="0" xfId="0">
      <alignment vertical="center"/>
    </xf>
    <xf numFmtId="0" fontId="0" fillId="7" borderId="0" pivotButton="0" quotePrefix="0" xfId="0"/>
    <xf numFmtId="0" fontId="12" fillId="0" borderId="0" pivotButton="0" quotePrefix="0" xfId="0"/>
    <xf numFmtId="0" fontId="1" fillId="8" borderId="0" applyAlignment="1" pivotButton="0" quotePrefix="0" xfId="0">
      <alignment vertical="center"/>
    </xf>
    <xf numFmtId="0" fontId="0" fillId="8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8EFD9"/>
        </patternFill>
      </fill>
    </dxf>
    <dxf>
      <fill>
        <patternFill patternType="solid">
          <fgColor rgb="00FAD2D8"/>
        </patternFill>
      </fill>
    </dxf>
    <dxf>
      <font>
        <b val="1"/>
        <color rgb="000F7A4E"/>
      </font>
    </dxf>
    <dxf>
      <font>
        <b val="1"/>
        <color rgb="00B3123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62" customWidth="1" min="3" max="3"/>
    <col width="14" customWidth="1" min="4" max="4"/>
    <col width="12" customWidth="1" min="5" max="5"/>
  </cols>
  <sheetData>
    <row r="1"/>
    <row r="2">
      <c r="B2" s="1" t="inlineStr">
        <is>
          <t>Prácticas autocorregidas</t>
        </is>
      </c>
    </row>
    <row r="3"/>
    <row r="4">
      <c r="B4" s="2" t="inlineStr">
        <is>
          <t>Cada tipo de ejercicio tiene tres niveles, con datos distintos en cada uno:</t>
        </is>
      </c>
    </row>
    <row r="5">
      <c r="B5" s="2" t="inlineStr">
        <is>
          <t xml:space="preserve">   Nivel 1 · Con guía: la tabla de trabajo ya tiene las columnas y una fila de pistas.</t>
        </is>
      </c>
    </row>
    <row r="6">
      <c r="B6" s="2" t="inlineStr">
        <is>
          <t xml:space="preserve">   Nivel 2 · Con cabeceras: tienes las columnas, pero sin pistas.</t>
        </is>
      </c>
    </row>
    <row r="7">
      <c r="B7" s="2" t="inlineStr">
        <is>
          <t xml:space="preserve">   Nivel 3 · Sin ayuda: solo los datos y las preguntas, como en el examen.</t>
        </is>
      </c>
    </row>
    <row r="8">
      <c r="B8" s="2" t="inlineStr">
        <is>
          <t>Escribe tus resultados en las celdas amarillas. Se ponen verdes si están bien y rojas si no;</t>
        </is>
      </c>
    </row>
    <row r="9">
      <c r="B9" s="2" t="inlineStr">
        <is>
          <t>al lado aparece una pista cuando el error es uno de los típicos.</t>
        </is>
      </c>
    </row>
    <row r="10">
      <c r="B10" s="2" t="inlineStr">
        <is>
          <t>Puedes hacer los cálculos donde quieras de la hoja (a la derecha hay sitio) y escribir solo el resultado,</t>
        </is>
      </c>
    </row>
    <row r="11">
      <c r="B11" s="2" t="inlineStr">
        <is>
          <t>o poner directamente la fórmula en la celda amarilla. Los decimales con coma, como siempre.</t>
        </is>
      </c>
    </row>
    <row r="12">
      <c r="B12" s="2" t="inlineStr">
        <is>
          <t>Las proporciones puedes darlas en decimal (0,25) o en porcentaje (25).</t>
        </is>
      </c>
    </row>
    <row r="13"/>
    <row r="14">
      <c r="B14" s="3" t="inlineStr">
        <is>
          <t>Hoja</t>
        </is>
      </c>
      <c r="C14" s="3" t="inlineStr">
        <is>
          <t>Ejercicio</t>
        </is>
      </c>
      <c r="D14" s="3" t="inlineStr">
        <is>
          <t>Nivel</t>
        </is>
      </c>
      <c r="E14" s="3" t="inlineStr">
        <is>
          <t>Aciertos</t>
        </is>
      </c>
    </row>
    <row r="15">
      <c r="B15" s="4" t="inlineStr">
        <is>
          <t>1_Discreta_N1</t>
        </is>
      </c>
      <c r="C15" t="inlineStr">
        <is>
          <t>Variable discreta: tabla y medidas</t>
        </is>
      </c>
      <c r="D15" t="inlineStr">
        <is>
          <t>Con guía</t>
        </is>
      </c>
      <c r="E15" s="5">
        <f>'1_Discreta_N1'!$F$2&amp;" de 11"</f>
        <v/>
      </c>
    </row>
    <row r="16">
      <c r="B16" s="4" t="inlineStr">
        <is>
          <t>1_Discreta_N2</t>
        </is>
      </c>
      <c r="C16" t="inlineStr">
        <is>
          <t>Variable discreta: tabla y medidas</t>
        </is>
      </c>
      <c r="D16" t="inlineStr">
        <is>
          <t>Con cabeceras</t>
        </is>
      </c>
      <c r="E16" s="5">
        <f>'1_Discreta_N2'!$F$2&amp;" de 11"</f>
        <v/>
      </c>
    </row>
    <row r="17">
      <c r="B17" s="4" t="inlineStr">
        <is>
          <t>1_Discreta_N3</t>
        </is>
      </c>
      <c r="C17" t="inlineStr">
        <is>
          <t>Variable discreta: tabla y medidas</t>
        </is>
      </c>
      <c r="D17" t="inlineStr">
        <is>
          <t>Sin ayuda</t>
        </is>
      </c>
      <c r="E17" s="5">
        <f>'1_Discreta_N3'!$F$2&amp;" de 11"</f>
        <v/>
      </c>
    </row>
    <row r="18">
      <c r="B18" s="4" t="inlineStr">
        <is>
          <t>2_Intervalos_N1</t>
        </is>
      </c>
      <c r="C18" t="inlineStr">
        <is>
          <t>Datos en intervalos (amplitudes distintas)</t>
        </is>
      </c>
      <c r="D18" t="inlineStr">
        <is>
          <t>Con guía</t>
        </is>
      </c>
      <c r="E18" s="5">
        <f>'2_Intervalos_N1'!$F$2&amp;" de 8"</f>
        <v/>
      </c>
    </row>
    <row r="19">
      <c r="B19" s="4" t="inlineStr">
        <is>
          <t>2_Intervalos_N2</t>
        </is>
      </c>
      <c r="C19" t="inlineStr">
        <is>
          <t>Datos en intervalos (amplitudes distintas)</t>
        </is>
      </c>
      <c r="D19" t="inlineStr">
        <is>
          <t>Con cabeceras</t>
        </is>
      </c>
      <c r="E19" s="5">
        <f>'2_Intervalos_N2'!$F$2&amp;" de 8"</f>
        <v/>
      </c>
    </row>
    <row r="20">
      <c r="B20" s="4" t="inlineStr">
        <is>
          <t>2_Intervalos_N3</t>
        </is>
      </c>
      <c r="C20" t="inlineStr">
        <is>
          <t>Datos en intervalos (amplitudes distintas)</t>
        </is>
      </c>
      <c r="D20" t="inlineStr">
        <is>
          <t>Sin ayuda</t>
        </is>
      </c>
      <c r="E20" s="5">
        <f>'2_Intervalos_N3'!$F$2&amp;" de 8"</f>
        <v/>
      </c>
    </row>
    <row r="21">
      <c r="B21" s="4" t="inlineStr">
        <is>
          <t>3_Grupos_N1</t>
        </is>
      </c>
      <c r="C21" t="inlineStr">
        <is>
          <t>Varianza dentro y entre grupos + cambios de escala</t>
        </is>
      </c>
      <c r="D21" t="inlineStr">
        <is>
          <t>Con guía</t>
        </is>
      </c>
      <c r="E21" s="5">
        <f>'3_Grupos_N1'!$F$2&amp;" de 9"</f>
        <v/>
      </c>
    </row>
    <row r="22">
      <c r="B22" s="4" t="inlineStr">
        <is>
          <t>3_Grupos_N2</t>
        </is>
      </c>
      <c r="C22" t="inlineStr">
        <is>
          <t>Varianza dentro y entre grupos + cambios de escala</t>
        </is>
      </c>
      <c r="D22" t="inlineStr">
        <is>
          <t>Con cabeceras</t>
        </is>
      </c>
      <c r="E22" s="5">
        <f>'3_Grupos_N2'!$F$2&amp;" de 9"</f>
        <v/>
      </c>
    </row>
    <row r="23">
      <c r="B23" s="4" t="inlineStr">
        <is>
          <t>3_Grupos_N3</t>
        </is>
      </c>
      <c r="C23" t="inlineStr">
        <is>
          <t>Varianza dentro y entre grupos + cambios de escala</t>
        </is>
      </c>
      <c r="D23" t="inlineStr">
        <is>
          <t>Sin ayuda</t>
        </is>
      </c>
      <c r="E23" s="5">
        <f>'3_Grupos_N3'!$F$2&amp;" de 9"</f>
        <v/>
      </c>
    </row>
    <row r="24">
      <c r="B24" s="4" t="inlineStr">
        <is>
          <t>4_Contingencia_N1</t>
        </is>
      </c>
      <c r="C24" t="inlineStr">
        <is>
          <t>Tabla de doble entrada e independencia</t>
        </is>
      </c>
      <c r="D24" t="inlineStr">
        <is>
          <t>Con guía</t>
        </is>
      </c>
      <c r="E24" s="5">
        <f>'4_Contingencia_N1'!$F$2&amp;" de 7"</f>
        <v/>
      </c>
    </row>
    <row r="25">
      <c r="B25" s="4" t="inlineStr">
        <is>
          <t>4_Contingencia_N2</t>
        </is>
      </c>
      <c r="C25" t="inlineStr">
        <is>
          <t>Tabla de doble entrada e independencia</t>
        </is>
      </c>
      <c r="D25" t="inlineStr">
        <is>
          <t>Con cabeceras</t>
        </is>
      </c>
      <c r="E25" s="5">
        <f>'4_Contingencia_N2'!$F$2&amp;" de 7"</f>
        <v/>
      </c>
    </row>
    <row r="26">
      <c r="B26" s="4" t="inlineStr">
        <is>
          <t>4_Contingencia_N3</t>
        </is>
      </c>
      <c r="C26" t="inlineStr">
        <is>
          <t>Tabla de doble entrada e independencia</t>
        </is>
      </c>
      <c r="D26" t="inlineStr">
        <is>
          <t>Sin ayuda</t>
        </is>
      </c>
      <c r="E26" s="5">
        <f>'4_Contingencia_N3'!$F$2&amp;" de 7"</f>
        <v/>
      </c>
    </row>
    <row r="27">
      <c r="B27" s="4" t="inlineStr">
        <is>
          <t>5_Regresion_N1</t>
        </is>
      </c>
      <c r="C27" t="inlineStr">
        <is>
          <t>Regresión con datos</t>
        </is>
      </c>
      <c r="D27" t="inlineStr">
        <is>
          <t>Con guía</t>
        </is>
      </c>
      <c r="E27" s="5">
        <f>'5_Regresion_N1'!$F$2&amp;" de 9"</f>
        <v/>
      </c>
    </row>
    <row r="28">
      <c r="B28" s="4" t="inlineStr">
        <is>
          <t>5_Regresion_N2</t>
        </is>
      </c>
      <c r="C28" t="inlineStr">
        <is>
          <t>Regresión con datos</t>
        </is>
      </c>
      <c r="D28" t="inlineStr">
        <is>
          <t>Con cabeceras</t>
        </is>
      </c>
      <c r="E28" s="5">
        <f>'5_Regresion_N2'!$F$2&amp;" de 9"</f>
        <v/>
      </c>
    </row>
    <row r="29">
      <c r="B29" s="4" t="inlineStr">
        <is>
          <t>5_Regresion_N3</t>
        </is>
      </c>
      <c r="C29" t="inlineStr">
        <is>
          <t>Regresión con datos</t>
        </is>
      </c>
      <c r="D29" t="inlineStr">
        <is>
          <t>Sin ayuda</t>
        </is>
      </c>
      <c r="E29" s="5">
        <f>'5_Regresion_N3'!$F$2&amp;" de 9"</f>
        <v/>
      </c>
    </row>
    <row r="30">
      <c r="B30" s="4" t="inlineStr">
        <is>
          <t>6_Reg_resumen_N1</t>
        </is>
      </c>
      <c r="C30" t="inlineStr">
        <is>
          <t>Regresión a partir de resúmenes</t>
        </is>
      </c>
      <c r="D30" t="inlineStr">
        <is>
          <t>Con guía</t>
        </is>
      </c>
      <c r="E30" s="5">
        <f>'6_Reg_resumen_N1'!$F$2&amp;" de 5"</f>
        <v/>
      </c>
    </row>
    <row r="31">
      <c r="B31" s="4" t="inlineStr">
        <is>
          <t>6_Reg_resumen_N2</t>
        </is>
      </c>
      <c r="C31" t="inlineStr">
        <is>
          <t>Regresión a partir de resúmenes</t>
        </is>
      </c>
      <c r="D31" t="inlineStr">
        <is>
          <t>Con cabeceras</t>
        </is>
      </c>
      <c r="E31" s="5">
        <f>'6_Reg_resumen_N2'!$F$2&amp;" de 5"</f>
        <v/>
      </c>
    </row>
    <row r="32">
      <c r="B32" s="4" t="inlineStr">
        <is>
          <t>6_Reg_resumen_N3</t>
        </is>
      </c>
      <c r="C32" t="inlineStr">
        <is>
          <t>Regresión a partir de resúmenes</t>
        </is>
      </c>
      <c r="D32" t="inlineStr">
        <is>
          <t>Sin ayuda</t>
        </is>
      </c>
      <c r="E32" s="5">
        <f>'6_Reg_resumen_N3'!$F$2&amp;" de 5"</f>
        <v/>
      </c>
    </row>
    <row r="33">
      <c r="B33" s="4" t="inlineStr">
        <is>
          <t>7_Indices_N1</t>
        </is>
      </c>
      <c r="C33" t="inlineStr">
        <is>
          <t>Índices y tasas</t>
        </is>
      </c>
      <c r="D33" t="inlineStr">
        <is>
          <t>Con guía</t>
        </is>
      </c>
      <c r="E33" s="5">
        <f>'7_Indices_N1'!$F$2&amp;" de 2"</f>
        <v/>
      </c>
    </row>
    <row r="34">
      <c r="B34" s="4" t="inlineStr">
        <is>
          <t>7_Indices_N2</t>
        </is>
      </c>
      <c r="C34" t="inlineStr">
        <is>
          <t>Índices y tasas</t>
        </is>
      </c>
      <c r="D34" t="inlineStr">
        <is>
          <t>Con cabeceras</t>
        </is>
      </c>
      <c r="E34" s="5">
        <f>'7_Indices_N2'!$F$2&amp;" de 3"</f>
        <v/>
      </c>
    </row>
    <row r="35">
      <c r="B35" s="4" t="inlineStr">
        <is>
          <t>7_Indices_N3</t>
        </is>
      </c>
      <c r="C35" t="inlineStr">
        <is>
          <t>Índices y tasas</t>
        </is>
      </c>
      <c r="D35" t="inlineStr">
        <is>
          <t>Sin ayuda</t>
        </is>
      </c>
      <c r="E35" s="5">
        <f>'7_Indices_N3'!$F$2&amp;" de 4"</f>
        <v/>
      </c>
    </row>
    <row r="36">
      <c r="B36" s="4" t="inlineStr">
        <is>
          <t>8_Laspeyres_IPC_N1</t>
        </is>
      </c>
      <c r="C36" t="inlineStr">
        <is>
          <t>Laspeyres, Paasche y deflactar</t>
        </is>
      </c>
      <c r="D36" t="inlineStr">
        <is>
          <t>Con guía</t>
        </is>
      </c>
      <c r="E36" s="5">
        <f>'8_Laspeyres_IPC_N1'!$F$2&amp;" de 6"</f>
        <v/>
      </c>
    </row>
    <row r="37">
      <c r="B37" s="4" t="inlineStr">
        <is>
          <t>8_Laspeyres_IPC_N2</t>
        </is>
      </c>
      <c r="C37" t="inlineStr">
        <is>
          <t>Laspeyres, Paasche y deflactar</t>
        </is>
      </c>
      <c r="D37" t="inlineStr">
        <is>
          <t>Con cabeceras</t>
        </is>
      </c>
      <c r="E37" s="5">
        <f>'8_Laspeyres_IPC_N2'!$F$2&amp;" de 6"</f>
        <v/>
      </c>
    </row>
    <row r="38">
      <c r="B38" s="4" t="inlineStr">
        <is>
          <t>8_Laspeyres_IPC_N3</t>
        </is>
      </c>
      <c r="C38" t="inlineStr">
        <is>
          <t>Laspeyres, Paasche y deflactar</t>
        </is>
      </c>
      <c r="D38" t="inlineStr">
        <is>
          <t>Sin ayuda</t>
        </is>
      </c>
      <c r="E38" s="5">
        <f>'8_Laspeyres_IPC_N3'!$F$2&amp;" de 6"</f>
        <v/>
      </c>
    </row>
  </sheetData>
  <hyperlinks>
    <hyperlink ref="B15" location="'1_Discreta_N1'!A1"/>
    <hyperlink ref="B16" location="'1_Discreta_N2'!A1"/>
    <hyperlink ref="B17" location="'1_Discreta_N3'!A1"/>
    <hyperlink ref="B18" location="'2_Intervalos_N1'!A1"/>
    <hyperlink ref="B19" location="'2_Intervalos_N2'!A1"/>
    <hyperlink ref="B20" location="'2_Intervalos_N3'!A1"/>
    <hyperlink ref="B21" location="'3_Grupos_N1'!A1"/>
    <hyperlink ref="B22" location="'3_Grupos_N2'!A1"/>
    <hyperlink ref="B23" location="'3_Grupos_N3'!A1"/>
    <hyperlink ref="B24" location="'4_Contingencia_N1'!A1"/>
    <hyperlink ref="B25" location="'4_Contingencia_N2'!A1"/>
    <hyperlink ref="B26" location="'4_Contingencia_N3'!A1"/>
    <hyperlink ref="B27" location="'5_Regresion_N1'!A1"/>
    <hyperlink ref="B28" location="'5_Regresion_N2'!A1"/>
    <hyperlink ref="B29" location="'5_Regresion_N3'!A1"/>
    <hyperlink ref="B30" location="'6_Reg_resumen_N1'!A1"/>
    <hyperlink ref="B31" location="'6_Reg_resumen_N2'!A1"/>
    <hyperlink ref="B32" location="'6_Reg_resumen_N3'!A1"/>
    <hyperlink ref="B33" location="'7_Indices_N1'!A1"/>
    <hyperlink ref="B34" location="'7_Indices_N2'!A1"/>
    <hyperlink ref="B35" location="'7_Indices_N3'!A1"/>
    <hyperlink ref="B36" location="'8_Laspeyres_IPC_N1'!A1"/>
    <hyperlink ref="B37" location="'8_Laspeyres_IPC_N2'!A1"/>
    <hyperlink ref="B38" location="'8_Laspeyres_IPC_N3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FD0"/>
    <outlinePr summaryBelow="1" summaryRight="1"/>
    <pageSetUpPr/>
  </sheetPr>
  <dimension ref="A1:K3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Variable discreta: tabla y medidas · Nivel 1 · Con guía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SUMPRODUCT(--(LEFT($C$1:$C$38,1)="✔"))</f>
        <v/>
      </c>
      <c r="G2" s="8" t="inlineStr">
        <is>
          <t>de 11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Número de días de teletrabajo a la semana de 30 empleados.</t>
        </is>
      </c>
    </row>
    <row r="6">
      <c r="A6" s="8" t="inlineStr">
        <is>
          <t>Datos</t>
        </is>
      </c>
      <c r="B6" s="12" t="n">
        <v>0</v>
      </c>
      <c r="C6" s="12" t="n">
        <v>1</v>
      </c>
      <c r="D6" s="12" t="n">
        <v>2</v>
      </c>
      <c r="E6" s="12" t="n">
        <v>0</v>
      </c>
      <c r="F6" s="12" t="n">
        <v>0</v>
      </c>
      <c r="G6" s="12" t="n">
        <v>4</v>
      </c>
      <c r="H6" s="12" t="n">
        <v>0</v>
      </c>
      <c r="I6" s="12" t="n">
        <v>0</v>
      </c>
      <c r="J6" s="12" t="n">
        <v>4</v>
      </c>
      <c r="K6" s="12" t="n">
        <v>2</v>
      </c>
    </row>
    <row r="7">
      <c r="B7" s="12" t="n">
        <v>1</v>
      </c>
      <c r="C7" s="12" t="n">
        <v>1</v>
      </c>
      <c r="D7" s="12" t="n">
        <v>2</v>
      </c>
      <c r="E7" s="12" t="n">
        <v>0</v>
      </c>
      <c r="F7" s="12" t="n">
        <v>0</v>
      </c>
      <c r="G7" s="12" t="n">
        <v>3</v>
      </c>
      <c r="H7" s="12" t="n">
        <v>2</v>
      </c>
      <c r="I7" s="12" t="n">
        <v>1</v>
      </c>
      <c r="J7" s="12" t="n">
        <v>3</v>
      </c>
      <c r="K7" s="12" t="n">
        <v>1</v>
      </c>
    </row>
    <row r="8">
      <c r="B8" s="12" t="n">
        <v>5</v>
      </c>
      <c r="C8" s="12" t="n">
        <v>0</v>
      </c>
      <c r="D8" s="12" t="n">
        <v>1</v>
      </c>
      <c r="E8" s="12" t="n">
        <v>1</v>
      </c>
      <c r="F8" s="12" t="n">
        <v>1</v>
      </c>
      <c r="G8" s="12" t="n">
        <v>2</v>
      </c>
      <c r="H8" s="12" t="n">
        <v>0</v>
      </c>
      <c r="I8" s="12" t="n">
        <v>3</v>
      </c>
      <c r="J8" s="12" t="n">
        <v>3</v>
      </c>
      <c r="K8" s="12" t="n">
        <v>0</v>
      </c>
    </row>
    <row r="9"/>
    <row r="10">
      <c r="A10" s="13" t="inlineStr">
        <is>
          <t>Paso 1 · Tabla de frecuencias</t>
        </is>
      </c>
    </row>
    <row r="11">
      <c r="A11" s="14" t="inlineStr">
        <is>
          <t>💡 Escribe en la fila de pistas lo que pondrías en la primera fila. Usa CONTAR.SI sobre los datos de arriba (fíjalos con $).</t>
        </is>
      </c>
    </row>
    <row r="12">
      <c r="A12" s="15" t="inlineStr">
        <is>
          <t>xᵢ</t>
        </is>
      </c>
      <c r="B12" s="15" t="inlineStr">
        <is>
          <t>nᵢ</t>
        </is>
      </c>
      <c r="C12" s="15" t="inlineStr">
        <is>
          <t>fᵢ</t>
        </is>
      </c>
      <c r="D12" s="15" t="inlineStr">
        <is>
          <t>Nᵢ</t>
        </is>
      </c>
      <c r="E12" s="15" t="inlineStr">
        <is>
          <t>xᵢ·nᵢ</t>
        </is>
      </c>
      <c r="F12" s="15" t="inlineStr">
        <is>
          <t>xᵢ²·nᵢ</t>
        </is>
      </c>
    </row>
    <row r="13" ht="30" customHeight="1">
      <c r="A13" s="16" t="inlineStr">
        <is>
          <t>Pista →</t>
        </is>
      </c>
      <c r="B13" s="17" t="inlineStr">
        <is>
          <t>ej. =CONTAR.SI(datos;A…)</t>
        </is>
      </c>
      <c r="C13" s="17" t="inlineStr">
        <is>
          <t>ej. =nᵢ / n</t>
        </is>
      </c>
      <c r="D13" s="17" t="inlineStr">
        <is>
          <t>ej. =Nᵢ₋₁ + nᵢ</t>
        </is>
      </c>
      <c r="E13" s="17" t="inlineStr">
        <is>
          <t>ej. =xᵢ*nᵢ</t>
        </is>
      </c>
      <c r="F13" s="17" t="inlineStr">
        <is>
          <t>ej. =xᵢ^2*nᵢ</t>
        </is>
      </c>
    </row>
    <row r="14">
      <c r="A14" s="12" t="n">
        <v>0</v>
      </c>
      <c r="B14" s="18" t="n"/>
      <c r="C14" s="18" t="n"/>
      <c r="D14" s="18" t="n"/>
      <c r="E14" s="18" t="n"/>
      <c r="F14" s="18" t="n"/>
    </row>
    <row r="15">
      <c r="A15" s="12" t="n">
        <v>1</v>
      </c>
      <c r="B15" s="18" t="n"/>
      <c r="C15" s="18" t="n"/>
      <c r="D15" s="18" t="n"/>
      <c r="E15" s="18" t="n"/>
      <c r="F15" s="18" t="n"/>
    </row>
    <row r="16">
      <c r="A16" s="12" t="n">
        <v>2</v>
      </c>
      <c r="B16" s="18" t="n"/>
      <c r="C16" s="18" t="n"/>
      <c r="D16" s="18" t="n"/>
      <c r="E16" s="18" t="n"/>
      <c r="F16" s="18" t="n"/>
    </row>
    <row r="17">
      <c r="A17" s="12" t="n">
        <v>3</v>
      </c>
      <c r="B17" s="18" t="n"/>
      <c r="C17" s="18" t="n"/>
      <c r="D17" s="18" t="n"/>
      <c r="E17" s="18" t="n"/>
      <c r="F17" s="18" t="n"/>
    </row>
    <row r="18">
      <c r="A18" s="12" t="n">
        <v>4</v>
      </c>
      <c r="B18" s="18" t="n"/>
      <c r="C18" s="18" t="n"/>
      <c r="D18" s="18" t="n"/>
      <c r="E18" s="18" t="n"/>
      <c r="F18" s="18" t="n"/>
    </row>
    <row r="19">
      <c r="A19" s="12" t="n">
        <v>5</v>
      </c>
      <c r="B19" s="18" t="n"/>
      <c r="C19" s="18" t="n"/>
      <c r="D19" s="18" t="n"/>
      <c r="E19" s="18" t="n"/>
      <c r="F19" s="18" t="n"/>
    </row>
    <row r="20"/>
    <row r="21">
      <c r="A21" s="13" t="inlineStr">
        <is>
          <t>Paso 2 · Medidas</t>
        </is>
      </c>
    </row>
    <row r="22">
      <c r="A22" s="19" t="inlineStr">
        <is>
          <t>Tamaño de la muestra (n)</t>
        </is>
      </c>
      <c r="B22" s="20" t="n"/>
      <c r="C22" s="19">
        <f>IF(B22="","",IF(AND(ISNUMBER(B22),ABS(B22-Claves!$A$31)&lt;=0.51),"✔ Bien",IF(NOT(ISNUMBER(B22)),"✘ Escribe solo el número (sin texto ni %).","✘ Revisa el cálculo.")))</f>
        <v/>
      </c>
    </row>
    <row r="23">
      <c r="A23" s="19" t="inlineStr">
        <is>
          <t>Media</t>
        </is>
      </c>
      <c r="B23" s="20" t="n"/>
      <c r="C23" s="19">
        <f>IF(B23="","",IF(AND(ISNUMBER(B23),ABS(B23-Claves!$A$32)&lt;=0.0051),"✔ Bien",IF(NOT(ISNUMBER(B23)),"✘ Escribe solo el número (sin texto ni %).",IF(ABS(B23-2.5)&lt;=0.0051,"✘ Has hecho la media de los valores distintos. Cada valor cuenta tantas veces como se repite.","✘ Revisa el cálculo."))))</f>
        <v/>
      </c>
    </row>
    <row r="24">
      <c r="A24" s="19" t="inlineStr">
        <is>
          <t>Mediana</t>
        </is>
      </c>
      <c r="B24" s="20" t="n"/>
      <c r="C24" s="19">
        <f>IF(B24="","",IF(AND(ISNUMBER(B24),ABS(B24-Claves!$A$33)&lt;=0.0051),"✔ Bien",IF(NOT(ISNUMBER(B24)),"✘ Escribe solo el número (sin texto ni %).","✘ Revisa el cálculo.")))</f>
        <v/>
      </c>
    </row>
    <row r="25">
      <c r="A25" s="19" t="inlineStr">
        <is>
          <t>Moda</t>
        </is>
      </c>
      <c r="B25" s="20" t="n"/>
      <c r="C25" s="19">
        <f>IF(B25="","",IF(AND(ISNUMBER(B25),ABS(B25-Claves!$A$34)&lt;=0.51),"✔ Bien",IF(NOT(ISNUMBER(B25)),"✘ Escribe solo el número (sin texto ni %).",IF(ABS(B25-10)&lt;=0.51,"✘ Eso es la frecuencia más alta. La moda es el VALOR que tiene esa frecuencia.","✘ Revisa el cálculo."))))</f>
        <v/>
      </c>
    </row>
    <row r="26">
      <c r="A26" s="19" t="inlineStr">
        <is>
          <t>Primer cuartil (con CUARTIL.INC)</t>
        </is>
      </c>
      <c r="B26" s="20" t="n"/>
      <c r="C26" s="19">
        <f>IF(B26="","",IF(AND(ISNUMBER(B26),ABS(B26-Claves!$A$35)&lt;=0.0051),"✔ Bien",IF(NOT(ISNUMBER(B26)),"✘ Escribe solo el número (sin texto ni %).","✘ Revisa el cálculo.")))</f>
        <v/>
      </c>
    </row>
    <row r="27">
      <c r="A27" s="19" t="inlineStr">
        <is>
          <t>Tercer cuartil (con CUARTIL.INC)</t>
        </is>
      </c>
      <c r="B27" s="20" t="n"/>
      <c r="C27" s="19">
        <f>IF(B27="","",IF(AND(ISNUMBER(B27),ABS(B27-Claves!$A$36)&lt;=0.0051),"✔ Bien",IF(NOT(ISNUMBER(B27)),"✘ Escribe solo el número (sin texto ni %).","✘ Revisa el cálculo.")))</f>
        <v/>
      </c>
    </row>
    <row r="28">
      <c r="A28" s="19" t="inlineStr">
        <is>
          <t>Varianza S² (la de clase)</t>
        </is>
      </c>
      <c r="B28" s="20" t="n"/>
      <c r="C28" s="19">
        <f>IF(B28="","",IF(AND(ISNUMBER(B28),ABS(B28-Claves!$A$37)&lt;=0.0019788888888888885),"✔ Bien",IF(NOT(ISNUMBER(B28)),"✘ Escribe solo el número (sin texto ni %).",IF(ABS(B28-2.047126436781609)&lt;=0.002047126436781609,"✘ Has calculado la cuasivarianza (VAR.S). Aquí se pide VAR.P.",IF(ABS(B28-4.033333333333333)&lt;=0.004033333333333333,"✘ Te falta restar la media al cuadrado.","✘ Revisa el cálculo.")))))</f>
        <v/>
      </c>
    </row>
    <row r="29">
      <c r="A29" s="19" t="inlineStr">
        <is>
          <t>Cuasivarianza s²</t>
        </is>
      </c>
      <c r="B29" s="20" t="n"/>
      <c r="C29" s="19">
        <f>IF(B29="","",IF(AND(ISNUMBER(B29),ABS(B29-Claves!$A$38)&lt;=0.002047126436781609),"✔ Bien",IF(NOT(ISNUMBER(B29)),"✘ Escribe solo el número (sin texto ni %).",IF(ABS(B29-1.9788888888888887)&lt;=0.0019788888888888885,"✘ Esa es la varianza (VAR.P). La cuasivarianza es VAR.S.","✘ Revisa el cálculo."))))</f>
        <v/>
      </c>
    </row>
    <row r="30">
      <c r="A30" s="19" t="inlineStr">
        <is>
          <t>Desviación típica S</t>
        </is>
      </c>
      <c r="B30" s="20" t="n"/>
      <c r="C30" s="19">
        <f>IF(B30="","",IF(AND(ISNUMBER(B30),ABS(B30-Claves!$A$39)&lt;=0.0014067298564006128),"✔ Bien",IF(NOT(ISNUMBER(B30)),"✘ Escribe solo el número (sin texto ni %).",IF(ABS(B30-1.4307782626184986)&lt;=0.0014307782626184987,"✘ Has usado DESVEST.S. La desviación típica de clase es DESVEST.P.",IF(ABS(B30-1.9788888888888887)&lt;=0.0019788888888888885,"✘ Eso es la varianza. La desviación típica es su raíz.","✘ Revisa el cálculo.")))))</f>
        <v/>
      </c>
    </row>
    <row r="31">
      <c r="A31" s="19" t="inlineStr">
        <is>
          <t>Coeficiente de variación (en decimal)</t>
        </is>
      </c>
      <c r="B31" s="20" t="n"/>
      <c r="C31" s="19">
        <f>IF(B31="","",IF(AND(ISNUMBER(B31),OR(ABS(B31-Claves!$A$40)&lt;=0.000981439434698102,ABS(B31/100-Claves!$A$40)&lt;=0.000981439434698102)),"✔ Bien",IF(NOT(ISNUMBER(B31)),"✘ Escribe solo el número (sin texto ni %).",IF(OR(ABS(B31-0.9982173925245339)&lt;=0.000998217392524534,ABS(B31/100-0.9982173925245339)&lt;=0.000998217392524534),"✘ Usa DESVEST.P en el CV, no DESVEST.S.",IF(OR(ABS(B31-1.018911574821331)&lt;=0.001018911574821331,ABS(B31/100-1.018911574821331)&lt;=0.001018911574821331),"✘ Está al revés: CV = desviación típica ÷ media.","✘ Revisa el cálculo.")))))</f>
        <v/>
      </c>
    </row>
    <row r="32" ht="30" customHeight="1">
      <c r="A32" s="19" t="inlineStr">
        <is>
          <t>Proporción de empleados con más de 2 (en decimal o %)</t>
        </is>
      </c>
      <c r="B32" s="20" t="n"/>
      <c r="C32" s="19">
        <f>IF(B32="","",IF(AND(ISNUMBER(B32),OR(ABS(B32-Claves!$A$41)&lt;=0.00051,ABS(B32/100-Claves!$A$41)&lt;=0.00051)),"✔ Bien",IF(NOT(ISNUMBER(B32)),"✘ Escribe solo el número (sin texto ni %).",IF(OR(ABS(B32-0.4)&lt;=0.00051,ABS(B32/100-0.4)&lt;=0.00051),"✘ ""Más de 2"" no incluye el 2.",IF(OR(ABS(B32-7)&lt;=0.007,ABS(B32/100-7)&lt;=0.007),"✘ Eso es cuántos son. Piden la proporción: divide entre n.","✘ Revisa el cálculo.")))))</f>
        <v/>
      </c>
    </row>
  </sheetData>
  <mergeCells count="11">
    <mergeCell ref="C28:I28"/>
    <mergeCell ref="C23:I23"/>
    <mergeCell ref="C31:I31"/>
    <mergeCell ref="C22:I22"/>
    <mergeCell ref="C26:I26"/>
    <mergeCell ref="C29:I29"/>
    <mergeCell ref="C24:I24"/>
    <mergeCell ref="C30:I30"/>
    <mergeCell ref="C32:I32"/>
    <mergeCell ref="C25:I25"/>
    <mergeCell ref="C27:I27"/>
  </mergeCells>
  <conditionalFormatting sqref="B14">
    <cfRule type="expression" priority="1" dxfId="0">
      <formula>AND(B14&lt;&gt;"",ISNUMBER(B14),ABS(B14-Claves!$A$1)&lt;=0.51)</formula>
    </cfRule>
    <cfRule type="expression" priority="2" dxfId="1">
      <formula>AND(B14&lt;&gt;"",OR(NOT(ISNUMBER(B14)),ABS(B14-Claves!$A$1)&gt;0.51))</formula>
    </cfRule>
  </conditionalFormatting>
  <conditionalFormatting sqref="C14">
    <cfRule type="expression" priority="3" dxfId="0">
      <formula>AND(C14&lt;&gt;"",ISNUMBER(C14),ABS(C14-Claves!$A$2)&lt;=0.00051)</formula>
    </cfRule>
    <cfRule type="expression" priority="4" dxfId="1">
      <formula>AND(C14&lt;&gt;"",OR(NOT(ISNUMBER(C14)),ABS(C14-Claves!$A$2)&gt;0.00051))</formula>
    </cfRule>
  </conditionalFormatting>
  <conditionalFormatting sqref="D14">
    <cfRule type="expression" priority="5" dxfId="0">
      <formula>AND(D14&lt;&gt;"",ISNUMBER(D14),ABS(D14-Claves!$A$3)&lt;=0.51)</formula>
    </cfRule>
    <cfRule type="expression" priority="6" dxfId="1">
      <formula>AND(D14&lt;&gt;"",OR(NOT(ISNUMBER(D14)),ABS(D14-Claves!$A$3)&gt;0.51))</formula>
    </cfRule>
  </conditionalFormatting>
  <conditionalFormatting sqref="E14">
    <cfRule type="expression" priority="7" dxfId="0">
      <formula>AND(E14&lt;&gt;"",ISNUMBER(E14),ABS(E14-Claves!$A$4)&lt;=0.51)</formula>
    </cfRule>
    <cfRule type="expression" priority="8" dxfId="1">
      <formula>AND(E14&lt;&gt;"",OR(NOT(ISNUMBER(E14)),ABS(E14-Claves!$A$4)&gt;0.51))</formula>
    </cfRule>
  </conditionalFormatting>
  <conditionalFormatting sqref="F14">
    <cfRule type="expression" priority="9" dxfId="0">
      <formula>AND(F14&lt;&gt;"",ISNUMBER(F14),ABS(F14-Claves!$A$5)&lt;=0.51)</formula>
    </cfRule>
    <cfRule type="expression" priority="10" dxfId="1">
      <formula>AND(F14&lt;&gt;"",OR(NOT(ISNUMBER(F14)),ABS(F14-Claves!$A$5)&gt;0.51))</formula>
    </cfRule>
  </conditionalFormatting>
  <conditionalFormatting sqref="B15">
    <cfRule type="expression" priority="11" dxfId="0">
      <formula>AND(B15&lt;&gt;"",ISNUMBER(B15),ABS(B15-Claves!$A$6)&lt;=0.51)</formula>
    </cfRule>
    <cfRule type="expression" priority="12" dxfId="1">
      <formula>AND(B15&lt;&gt;"",OR(NOT(ISNUMBER(B15)),ABS(B15-Claves!$A$6)&gt;0.51))</formula>
    </cfRule>
  </conditionalFormatting>
  <conditionalFormatting sqref="C15">
    <cfRule type="expression" priority="13" dxfId="0">
      <formula>AND(C15&lt;&gt;"",ISNUMBER(C15),ABS(C15-Claves!$A$7)&lt;=0.00051)</formula>
    </cfRule>
    <cfRule type="expression" priority="14" dxfId="1">
      <formula>AND(C15&lt;&gt;"",OR(NOT(ISNUMBER(C15)),ABS(C15-Claves!$A$7)&gt;0.00051))</formula>
    </cfRule>
  </conditionalFormatting>
  <conditionalFormatting sqref="D15">
    <cfRule type="expression" priority="15" dxfId="0">
      <formula>AND(D15&lt;&gt;"",ISNUMBER(D15),ABS(D15-Claves!$A$8)&lt;=0.51)</formula>
    </cfRule>
    <cfRule type="expression" priority="16" dxfId="1">
      <formula>AND(D15&lt;&gt;"",OR(NOT(ISNUMBER(D15)),ABS(D15-Claves!$A$8)&gt;0.51))</formula>
    </cfRule>
  </conditionalFormatting>
  <conditionalFormatting sqref="E15">
    <cfRule type="expression" priority="17" dxfId="0">
      <formula>AND(E15&lt;&gt;"",ISNUMBER(E15),ABS(E15-Claves!$A$9)&lt;=0.51)</formula>
    </cfRule>
    <cfRule type="expression" priority="18" dxfId="1">
      <formula>AND(E15&lt;&gt;"",OR(NOT(ISNUMBER(E15)),ABS(E15-Claves!$A$9)&gt;0.51))</formula>
    </cfRule>
  </conditionalFormatting>
  <conditionalFormatting sqref="F15">
    <cfRule type="expression" priority="19" dxfId="0">
      <formula>AND(F15&lt;&gt;"",ISNUMBER(F15),ABS(F15-Claves!$A$10)&lt;=0.51)</formula>
    </cfRule>
    <cfRule type="expression" priority="20" dxfId="1">
      <formula>AND(F15&lt;&gt;"",OR(NOT(ISNUMBER(F15)),ABS(F15-Claves!$A$10)&gt;0.51))</formula>
    </cfRule>
  </conditionalFormatting>
  <conditionalFormatting sqref="B16">
    <cfRule type="expression" priority="21" dxfId="0">
      <formula>AND(B16&lt;&gt;"",ISNUMBER(B16),ABS(B16-Claves!$A$11)&lt;=0.51)</formula>
    </cfRule>
    <cfRule type="expression" priority="22" dxfId="1">
      <formula>AND(B16&lt;&gt;"",OR(NOT(ISNUMBER(B16)),ABS(B16-Claves!$A$11)&gt;0.51))</formula>
    </cfRule>
  </conditionalFormatting>
  <conditionalFormatting sqref="C16">
    <cfRule type="expression" priority="23" dxfId="0">
      <formula>AND(C16&lt;&gt;"",ISNUMBER(C16),ABS(C16-Claves!$A$12)&lt;=0.00051)</formula>
    </cfRule>
    <cfRule type="expression" priority="24" dxfId="1">
      <formula>AND(C16&lt;&gt;"",OR(NOT(ISNUMBER(C16)),ABS(C16-Claves!$A$12)&gt;0.00051))</formula>
    </cfRule>
  </conditionalFormatting>
  <conditionalFormatting sqref="D16">
    <cfRule type="expression" priority="25" dxfId="0">
      <formula>AND(D16&lt;&gt;"",ISNUMBER(D16),ABS(D16-Claves!$A$13)&lt;=0.51)</formula>
    </cfRule>
    <cfRule type="expression" priority="26" dxfId="1">
      <formula>AND(D16&lt;&gt;"",OR(NOT(ISNUMBER(D16)),ABS(D16-Claves!$A$13)&gt;0.51))</formula>
    </cfRule>
  </conditionalFormatting>
  <conditionalFormatting sqref="E16">
    <cfRule type="expression" priority="27" dxfId="0">
      <formula>AND(E16&lt;&gt;"",ISNUMBER(E16),ABS(E16-Claves!$A$14)&lt;=0.51)</formula>
    </cfRule>
    <cfRule type="expression" priority="28" dxfId="1">
      <formula>AND(E16&lt;&gt;"",OR(NOT(ISNUMBER(E16)),ABS(E16-Claves!$A$14)&gt;0.51))</formula>
    </cfRule>
  </conditionalFormatting>
  <conditionalFormatting sqref="F16">
    <cfRule type="expression" priority="29" dxfId="0">
      <formula>AND(F16&lt;&gt;"",ISNUMBER(F16),ABS(F16-Claves!$A$15)&lt;=0.51)</formula>
    </cfRule>
    <cfRule type="expression" priority="30" dxfId="1">
      <formula>AND(F16&lt;&gt;"",OR(NOT(ISNUMBER(F16)),ABS(F16-Claves!$A$15)&gt;0.51))</formula>
    </cfRule>
  </conditionalFormatting>
  <conditionalFormatting sqref="B17">
    <cfRule type="expression" priority="31" dxfId="0">
      <formula>AND(B17&lt;&gt;"",ISNUMBER(B17),ABS(B17-Claves!$A$16)&lt;=0.51)</formula>
    </cfRule>
    <cfRule type="expression" priority="32" dxfId="1">
      <formula>AND(B17&lt;&gt;"",OR(NOT(ISNUMBER(B17)),ABS(B17-Claves!$A$16)&gt;0.51))</formula>
    </cfRule>
  </conditionalFormatting>
  <conditionalFormatting sqref="C17">
    <cfRule type="expression" priority="33" dxfId="0">
      <formula>AND(C17&lt;&gt;"",ISNUMBER(C17),ABS(C17-Claves!$A$17)&lt;=0.00051)</formula>
    </cfRule>
    <cfRule type="expression" priority="34" dxfId="1">
      <formula>AND(C17&lt;&gt;"",OR(NOT(ISNUMBER(C17)),ABS(C17-Claves!$A$17)&gt;0.00051))</formula>
    </cfRule>
  </conditionalFormatting>
  <conditionalFormatting sqref="D17">
    <cfRule type="expression" priority="35" dxfId="0">
      <formula>AND(D17&lt;&gt;"",ISNUMBER(D17),ABS(D17-Claves!$A$18)&lt;=0.51)</formula>
    </cfRule>
    <cfRule type="expression" priority="36" dxfId="1">
      <formula>AND(D17&lt;&gt;"",OR(NOT(ISNUMBER(D17)),ABS(D17-Claves!$A$18)&gt;0.51))</formula>
    </cfRule>
  </conditionalFormatting>
  <conditionalFormatting sqref="E17">
    <cfRule type="expression" priority="37" dxfId="0">
      <formula>AND(E17&lt;&gt;"",ISNUMBER(E17),ABS(E17-Claves!$A$19)&lt;=0.51)</formula>
    </cfRule>
    <cfRule type="expression" priority="38" dxfId="1">
      <formula>AND(E17&lt;&gt;"",OR(NOT(ISNUMBER(E17)),ABS(E17-Claves!$A$19)&gt;0.51))</formula>
    </cfRule>
  </conditionalFormatting>
  <conditionalFormatting sqref="F17">
    <cfRule type="expression" priority="39" dxfId="0">
      <formula>AND(F17&lt;&gt;"",ISNUMBER(F17),ABS(F17-Claves!$A$20)&lt;=0.51)</formula>
    </cfRule>
    <cfRule type="expression" priority="40" dxfId="1">
      <formula>AND(F17&lt;&gt;"",OR(NOT(ISNUMBER(F17)),ABS(F17-Claves!$A$20)&gt;0.51))</formula>
    </cfRule>
  </conditionalFormatting>
  <conditionalFormatting sqref="B18">
    <cfRule type="expression" priority="41" dxfId="0">
      <formula>AND(B18&lt;&gt;"",ISNUMBER(B18),ABS(B18-Claves!$A$21)&lt;=0.51)</formula>
    </cfRule>
    <cfRule type="expression" priority="42" dxfId="1">
      <formula>AND(B18&lt;&gt;"",OR(NOT(ISNUMBER(B18)),ABS(B18-Claves!$A$21)&gt;0.51))</formula>
    </cfRule>
  </conditionalFormatting>
  <conditionalFormatting sqref="C18">
    <cfRule type="expression" priority="43" dxfId="0">
      <formula>AND(C18&lt;&gt;"",ISNUMBER(C18),ABS(C18-Claves!$A$22)&lt;=0.00051)</formula>
    </cfRule>
    <cfRule type="expression" priority="44" dxfId="1">
      <formula>AND(C18&lt;&gt;"",OR(NOT(ISNUMBER(C18)),ABS(C18-Claves!$A$22)&gt;0.00051))</formula>
    </cfRule>
  </conditionalFormatting>
  <conditionalFormatting sqref="D18">
    <cfRule type="expression" priority="45" dxfId="0">
      <formula>AND(D18&lt;&gt;"",ISNUMBER(D18),ABS(D18-Claves!$A$23)&lt;=0.51)</formula>
    </cfRule>
    <cfRule type="expression" priority="46" dxfId="1">
      <formula>AND(D18&lt;&gt;"",OR(NOT(ISNUMBER(D18)),ABS(D18-Claves!$A$23)&gt;0.51))</formula>
    </cfRule>
  </conditionalFormatting>
  <conditionalFormatting sqref="E18">
    <cfRule type="expression" priority="47" dxfId="0">
      <formula>AND(E18&lt;&gt;"",ISNUMBER(E18),ABS(E18-Claves!$A$24)&lt;=0.51)</formula>
    </cfRule>
    <cfRule type="expression" priority="48" dxfId="1">
      <formula>AND(E18&lt;&gt;"",OR(NOT(ISNUMBER(E18)),ABS(E18-Claves!$A$24)&gt;0.51))</formula>
    </cfRule>
  </conditionalFormatting>
  <conditionalFormatting sqref="F18">
    <cfRule type="expression" priority="49" dxfId="0">
      <formula>AND(F18&lt;&gt;"",ISNUMBER(F18),ABS(F18-Claves!$A$25)&lt;=0.51)</formula>
    </cfRule>
    <cfRule type="expression" priority="50" dxfId="1">
      <formula>AND(F18&lt;&gt;"",OR(NOT(ISNUMBER(F18)),ABS(F18-Claves!$A$25)&gt;0.51))</formula>
    </cfRule>
  </conditionalFormatting>
  <conditionalFormatting sqref="B19">
    <cfRule type="expression" priority="51" dxfId="0">
      <formula>AND(B19&lt;&gt;"",ISNUMBER(B19),ABS(B19-Claves!$A$26)&lt;=0.51)</formula>
    </cfRule>
    <cfRule type="expression" priority="52" dxfId="1">
      <formula>AND(B19&lt;&gt;"",OR(NOT(ISNUMBER(B19)),ABS(B19-Claves!$A$26)&gt;0.51))</formula>
    </cfRule>
  </conditionalFormatting>
  <conditionalFormatting sqref="C19">
    <cfRule type="expression" priority="53" dxfId="0">
      <formula>AND(C19&lt;&gt;"",ISNUMBER(C19),ABS(C19-Claves!$A$27)&lt;=0.00051)</formula>
    </cfRule>
    <cfRule type="expression" priority="54" dxfId="1">
      <formula>AND(C19&lt;&gt;"",OR(NOT(ISNUMBER(C19)),ABS(C19-Claves!$A$27)&gt;0.00051))</formula>
    </cfRule>
  </conditionalFormatting>
  <conditionalFormatting sqref="D19">
    <cfRule type="expression" priority="55" dxfId="0">
      <formula>AND(D19&lt;&gt;"",ISNUMBER(D19),ABS(D19-Claves!$A$28)&lt;=0.51)</formula>
    </cfRule>
    <cfRule type="expression" priority="56" dxfId="1">
      <formula>AND(D19&lt;&gt;"",OR(NOT(ISNUMBER(D19)),ABS(D19-Claves!$A$28)&gt;0.51))</formula>
    </cfRule>
  </conditionalFormatting>
  <conditionalFormatting sqref="E19">
    <cfRule type="expression" priority="57" dxfId="0">
      <formula>AND(E19&lt;&gt;"",ISNUMBER(E19),ABS(E19-Claves!$A$29)&lt;=0.51)</formula>
    </cfRule>
    <cfRule type="expression" priority="58" dxfId="1">
      <formula>AND(E19&lt;&gt;"",OR(NOT(ISNUMBER(E19)),ABS(E19-Claves!$A$29)&gt;0.51))</formula>
    </cfRule>
  </conditionalFormatting>
  <conditionalFormatting sqref="F19">
    <cfRule type="expression" priority="59" dxfId="0">
      <formula>AND(F19&lt;&gt;"",ISNUMBER(F19),ABS(F19-Claves!$A$30)&lt;=0.51)</formula>
    </cfRule>
    <cfRule type="expression" priority="60" dxfId="1">
      <formula>AND(F19&lt;&gt;"",OR(NOT(ISNUMBER(F19)),ABS(F19-Claves!$A$30)&gt;0.51))</formula>
    </cfRule>
  </conditionalFormatting>
  <conditionalFormatting sqref="B22">
    <cfRule type="expression" priority="61" dxfId="0">
      <formula>LEFT($C22,1)="✔"</formula>
    </cfRule>
    <cfRule type="expression" priority="62" dxfId="1">
      <formula>LEFT($C22,1)="✘"</formula>
    </cfRule>
  </conditionalFormatting>
  <conditionalFormatting sqref="C22:I22">
    <cfRule type="expression" priority="63" dxfId="2">
      <formula>LEFT($C22,1)="✔"</formula>
    </cfRule>
    <cfRule type="expression" priority="64" dxfId="3">
      <formula>LEFT($C22,1)="✘"</formula>
    </cfRule>
  </conditionalFormatting>
  <conditionalFormatting sqref="B23">
    <cfRule type="expression" priority="65" dxfId="0">
      <formula>LEFT($C23,1)="✔"</formula>
    </cfRule>
    <cfRule type="expression" priority="66" dxfId="1">
      <formula>LEFT($C23,1)="✘"</formula>
    </cfRule>
  </conditionalFormatting>
  <conditionalFormatting sqref="C23:I23">
    <cfRule type="expression" priority="67" dxfId="2">
      <formula>LEFT($C23,1)="✔"</formula>
    </cfRule>
    <cfRule type="expression" priority="68" dxfId="3">
      <formula>LEFT($C23,1)="✘"</formula>
    </cfRule>
  </conditionalFormatting>
  <conditionalFormatting sqref="B24">
    <cfRule type="expression" priority="69" dxfId="0">
      <formula>LEFT($C24,1)="✔"</formula>
    </cfRule>
    <cfRule type="expression" priority="70" dxfId="1">
      <formula>LEFT($C24,1)="✘"</formula>
    </cfRule>
  </conditionalFormatting>
  <conditionalFormatting sqref="C24:I24">
    <cfRule type="expression" priority="71" dxfId="2">
      <formula>LEFT($C24,1)="✔"</formula>
    </cfRule>
    <cfRule type="expression" priority="72" dxfId="3">
      <formula>LEFT($C24,1)="✘"</formula>
    </cfRule>
  </conditionalFormatting>
  <conditionalFormatting sqref="B25">
    <cfRule type="expression" priority="73" dxfId="0">
      <formula>LEFT($C25,1)="✔"</formula>
    </cfRule>
    <cfRule type="expression" priority="74" dxfId="1">
      <formula>LEFT($C25,1)="✘"</formula>
    </cfRule>
  </conditionalFormatting>
  <conditionalFormatting sqref="C25:I25">
    <cfRule type="expression" priority="75" dxfId="2">
      <formula>LEFT($C25,1)="✔"</formula>
    </cfRule>
    <cfRule type="expression" priority="76" dxfId="3">
      <formula>LEFT($C25,1)="✘"</formula>
    </cfRule>
  </conditionalFormatting>
  <conditionalFormatting sqref="B26">
    <cfRule type="expression" priority="77" dxfId="0">
      <formula>LEFT($C26,1)="✔"</formula>
    </cfRule>
    <cfRule type="expression" priority="78" dxfId="1">
      <formula>LEFT($C26,1)="✘"</formula>
    </cfRule>
  </conditionalFormatting>
  <conditionalFormatting sqref="C26:I26">
    <cfRule type="expression" priority="79" dxfId="2">
      <formula>LEFT($C26,1)="✔"</formula>
    </cfRule>
    <cfRule type="expression" priority="80" dxfId="3">
      <formula>LEFT($C26,1)="✘"</formula>
    </cfRule>
  </conditionalFormatting>
  <conditionalFormatting sqref="B27">
    <cfRule type="expression" priority="81" dxfId="0">
      <formula>LEFT($C27,1)="✔"</formula>
    </cfRule>
    <cfRule type="expression" priority="82" dxfId="1">
      <formula>LEFT($C27,1)="✘"</formula>
    </cfRule>
  </conditionalFormatting>
  <conditionalFormatting sqref="C27:I27">
    <cfRule type="expression" priority="83" dxfId="2">
      <formula>LEFT($C27,1)="✔"</formula>
    </cfRule>
    <cfRule type="expression" priority="84" dxfId="3">
      <formula>LEFT($C27,1)="✘"</formula>
    </cfRule>
  </conditionalFormatting>
  <conditionalFormatting sqref="B28">
    <cfRule type="expression" priority="85" dxfId="0">
      <formula>LEFT($C28,1)="✔"</formula>
    </cfRule>
    <cfRule type="expression" priority="86" dxfId="1">
      <formula>LEFT($C28,1)="✘"</formula>
    </cfRule>
  </conditionalFormatting>
  <conditionalFormatting sqref="C28:I28">
    <cfRule type="expression" priority="87" dxfId="2">
      <formula>LEFT($C28,1)="✔"</formula>
    </cfRule>
    <cfRule type="expression" priority="88" dxfId="3">
      <formula>LEFT($C28,1)="✘"</formula>
    </cfRule>
  </conditionalFormatting>
  <conditionalFormatting sqref="B29">
    <cfRule type="expression" priority="89" dxfId="0">
      <formula>LEFT($C29,1)="✔"</formula>
    </cfRule>
    <cfRule type="expression" priority="90" dxfId="1">
      <formula>LEFT($C29,1)="✘"</formula>
    </cfRule>
  </conditionalFormatting>
  <conditionalFormatting sqref="C29:I29">
    <cfRule type="expression" priority="91" dxfId="2">
      <formula>LEFT($C29,1)="✔"</formula>
    </cfRule>
    <cfRule type="expression" priority="92" dxfId="3">
      <formula>LEFT($C29,1)="✘"</formula>
    </cfRule>
  </conditionalFormatting>
  <conditionalFormatting sqref="B30">
    <cfRule type="expression" priority="93" dxfId="0">
      <formula>LEFT($C30,1)="✔"</formula>
    </cfRule>
    <cfRule type="expression" priority="94" dxfId="1">
      <formula>LEFT($C30,1)="✘"</formula>
    </cfRule>
  </conditionalFormatting>
  <conditionalFormatting sqref="C30:I30">
    <cfRule type="expression" priority="95" dxfId="2">
      <formula>LEFT($C30,1)="✔"</formula>
    </cfRule>
    <cfRule type="expression" priority="96" dxfId="3">
      <formula>LEFT($C30,1)="✘"</formula>
    </cfRule>
  </conditionalFormatting>
  <conditionalFormatting sqref="B31">
    <cfRule type="expression" priority="97" dxfId="0">
      <formula>LEFT($C31,1)="✔"</formula>
    </cfRule>
    <cfRule type="expression" priority="98" dxfId="1">
      <formula>LEFT($C31,1)="✘"</formula>
    </cfRule>
  </conditionalFormatting>
  <conditionalFormatting sqref="C31:I31">
    <cfRule type="expression" priority="99" dxfId="2">
      <formula>LEFT($C31,1)="✔"</formula>
    </cfRule>
    <cfRule type="expression" priority="100" dxfId="3">
      <formula>LEFT($C31,1)="✘"</formula>
    </cfRule>
  </conditionalFormatting>
  <conditionalFormatting sqref="B32">
    <cfRule type="expression" priority="101" dxfId="0">
      <formula>LEFT($C32,1)="✔"</formula>
    </cfRule>
    <cfRule type="expression" priority="102" dxfId="1">
      <formula>LEFT($C32,1)="✘"</formula>
    </cfRule>
  </conditionalFormatting>
  <conditionalFormatting sqref="C32:I32">
    <cfRule type="expression" priority="103" dxfId="2">
      <formula>LEFT($C32,1)="✔"</formula>
    </cfRule>
    <cfRule type="expression" priority="104" dxfId="3">
      <formula>LEFT($C32,1)="✘"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FD0"/>
    <outlinePr summaryBelow="1" summaryRight="1"/>
    <pageSetUpPr/>
  </sheetPr>
  <dimension ref="A1:K29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Variable discreta: tabla y medidas · Nivel 2 · Con cabeceras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SUMPRODUCT(--(LEFT($C$1:$C$35,1)="✔"))</f>
        <v/>
      </c>
      <c r="G2" s="8" t="inlineStr">
        <is>
          <t>de 11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Número de días de teletrabajo a la semana de 30 empleados.</t>
        </is>
      </c>
    </row>
    <row r="6">
      <c r="A6" s="8" t="inlineStr">
        <is>
          <t>Datos</t>
        </is>
      </c>
      <c r="B6" s="12" t="n">
        <v>1</v>
      </c>
      <c r="C6" s="12" t="n">
        <v>4</v>
      </c>
      <c r="D6" s="12" t="n">
        <v>1</v>
      </c>
      <c r="E6" s="12" t="n">
        <v>0</v>
      </c>
      <c r="F6" s="12" t="n">
        <v>1</v>
      </c>
      <c r="G6" s="12" t="n">
        <v>1</v>
      </c>
      <c r="H6" s="12" t="n">
        <v>2</v>
      </c>
      <c r="I6" s="12" t="n">
        <v>0</v>
      </c>
      <c r="J6" s="12" t="n">
        <v>4</v>
      </c>
      <c r="K6" s="12" t="n">
        <v>3</v>
      </c>
    </row>
    <row r="7">
      <c r="B7" s="12" t="n">
        <v>0</v>
      </c>
      <c r="C7" s="12" t="n">
        <v>2</v>
      </c>
      <c r="D7" s="12" t="n">
        <v>0</v>
      </c>
      <c r="E7" s="12" t="n">
        <v>1</v>
      </c>
      <c r="F7" s="12" t="n">
        <v>1</v>
      </c>
      <c r="G7" s="12" t="n">
        <v>1</v>
      </c>
      <c r="H7" s="12" t="n">
        <v>1</v>
      </c>
      <c r="I7" s="12" t="n">
        <v>4</v>
      </c>
      <c r="J7" s="12" t="n">
        <v>1</v>
      </c>
      <c r="K7" s="12" t="n">
        <v>1</v>
      </c>
    </row>
    <row r="8">
      <c r="B8" s="12" t="n">
        <v>2</v>
      </c>
      <c r="C8" s="12" t="n">
        <v>4</v>
      </c>
      <c r="D8" s="12" t="n">
        <v>4</v>
      </c>
      <c r="E8" s="12" t="n">
        <v>4</v>
      </c>
      <c r="F8" s="12" t="n">
        <v>0</v>
      </c>
      <c r="G8" s="12" t="n">
        <v>4</v>
      </c>
      <c r="H8" s="12" t="n">
        <v>2</v>
      </c>
      <c r="I8" s="12" t="n">
        <v>3</v>
      </c>
      <c r="J8" s="12" t="n">
        <v>1</v>
      </c>
      <c r="K8" s="12" t="n">
        <v>1</v>
      </c>
    </row>
    <row r="9"/>
    <row r="10">
      <c r="A10" s="13" t="inlineStr">
        <is>
          <t>Paso 1 · Tabla de frecuencias</t>
        </is>
      </c>
    </row>
    <row r="11">
      <c r="A11" s="15" t="inlineStr">
        <is>
          <t>xᵢ</t>
        </is>
      </c>
      <c r="B11" s="15" t="inlineStr">
        <is>
          <t>nᵢ</t>
        </is>
      </c>
      <c r="C11" s="15" t="inlineStr">
        <is>
          <t>fᵢ</t>
        </is>
      </c>
      <c r="D11" s="15" t="inlineStr">
        <is>
          <t>Nᵢ</t>
        </is>
      </c>
      <c r="E11" s="15" t="inlineStr">
        <is>
          <t>xᵢ·nᵢ</t>
        </is>
      </c>
      <c r="F11" s="15" t="inlineStr">
        <is>
          <t>xᵢ²·nᵢ</t>
        </is>
      </c>
    </row>
    <row r="12">
      <c r="A12" s="12" t="n">
        <v>0</v>
      </c>
      <c r="B12" s="18" t="n"/>
      <c r="C12" s="18" t="n"/>
      <c r="D12" s="18" t="n"/>
      <c r="E12" s="18" t="n"/>
      <c r="F12" s="18" t="n"/>
    </row>
    <row r="13">
      <c r="A13" s="12" t="n">
        <v>1</v>
      </c>
      <c r="B13" s="18" t="n"/>
      <c r="C13" s="18" t="n"/>
      <c r="D13" s="18" t="n"/>
      <c r="E13" s="18" t="n"/>
      <c r="F13" s="18" t="n"/>
    </row>
    <row r="14">
      <c r="A14" s="12" t="n">
        <v>2</v>
      </c>
      <c r="B14" s="18" t="n"/>
      <c r="C14" s="18" t="n"/>
      <c r="D14" s="18" t="n"/>
      <c r="E14" s="18" t="n"/>
      <c r="F14" s="18" t="n"/>
    </row>
    <row r="15">
      <c r="A15" s="12" t="n">
        <v>3</v>
      </c>
      <c r="B15" s="18" t="n"/>
      <c r="C15" s="18" t="n"/>
      <c r="D15" s="18" t="n"/>
      <c r="E15" s="18" t="n"/>
      <c r="F15" s="18" t="n"/>
    </row>
    <row r="16">
      <c r="A16" s="12" t="n">
        <v>4</v>
      </c>
      <c r="B16" s="18" t="n"/>
      <c r="C16" s="18" t="n"/>
      <c r="D16" s="18" t="n"/>
      <c r="E16" s="18" t="n"/>
      <c r="F16" s="18" t="n"/>
    </row>
    <row r="17"/>
    <row r="18">
      <c r="A18" s="13" t="inlineStr">
        <is>
          <t>Paso 2 · Medidas</t>
        </is>
      </c>
    </row>
    <row r="19">
      <c r="A19" s="19" t="inlineStr">
        <is>
          <t>Tamaño de la muestra (n)</t>
        </is>
      </c>
      <c r="B19" s="20" t="n"/>
      <c r="C19" s="19">
        <f>IF(B19="","",IF(AND(ISNUMBER(B19),ABS(B19-Claves!$A$67)&lt;=0.51),"✔ Bien",IF(NOT(ISNUMBER(B19)),"✘ Escribe solo el número (sin texto ni %).","✘ Revisa el cálculo.")))</f>
        <v/>
      </c>
    </row>
    <row r="20">
      <c r="A20" s="19" t="inlineStr">
        <is>
          <t>Media</t>
        </is>
      </c>
      <c r="B20" s="20" t="n"/>
      <c r="C20" s="19">
        <f>IF(B20="","",IF(AND(ISNUMBER(B20),ABS(B20-Claves!$A$68)&lt;=0.0051),"✔ Bien",IF(NOT(ISNUMBER(B20)),"✘ Escribe solo el número (sin texto ni %).",IF(ABS(B20-2)&lt;=0.0051,"✘ Has hecho la media de los valores distintos. Cada valor cuenta tantas veces como se repite.","✘ Revisa el cálculo."))))</f>
        <v/>
      </c>
    </row>
    <row r="21">
      <c r="A21" s="19" t="inlineStr">
        <is>
          <t>Mediana</t>
        </is>
      </c>
      <c r="B21" s="20" t="n"/>
      <c r="C21" s="19">
        <f>IF(B21="","",IF(AND(ISNUMBER(B21),ABS(B21-Claves!$A$69)&lt;=0.0051),"✔ Bien",IF(NOT(ISNUMBER(B21)),"✘ Escribe solo el número (sin texto ni %).","✘ Revisa el cálculo.")))</f>
        <v/>
      </c>
    </row>
    <row r="22">
      <c r="A22" s="19" t="inlineStr">
        <is>
          <t>Moda</t>
        </is>
      </c>
      <c r="B22" s="20" t="n"/>
      <c r="C22" s="19">
        <f>IF(B22="","",IF(AND(ISNUMBER(B22),ABS(B22-Claves!$A$70)&lt;=0.51),"✔ Bien",IF(NOT(ISNUMBER(B22)),"✘ Escribe solo el número (sin texto ni %).",IF(ABS(B22-12)&lt;=0.51,"✘ Eso es la frecuencia más alta. La moda es el VALOR que tiene esa frecuencia.","✘ Revisa el cálculo."))))</f>
        <v/>
      </c>
    </row>
    <row r="23">
      <c r="A23" s="19" t="inlineStr">
        <is>
          <t>Primer cuartil (con CUARTIL.INC)</t>
        </is>
      </c>
      <c r="B23" s="20" t="n"/>
      <c r="C23" s="19">
        <f>IF(B23="","",IF(AND(ISNUMBER(B23),ABS(B23-Claves!$A$71)&lt;=0.0051),"✔ Bien",IF(NOT(ISNUMBER(B23)),"✘ Escribe solo el número (sin texto ni %).","✘ Revisa el cálculo.")))</f>
        <v/>
      </c>
    </row>
    <row r="24">
      <c r="A24" s="19" t="inlineStr">
        <is>
          <t>Tercer cuartil (con CUARTIL.INC)</t>
        </is>
      </c>
      <c r="B24" s="20" t="n"/>
      <c r="C24" s="19">
        <f>IF(B24="","",IF(AND(ISNUMBER(B24),ABS(B24-Claves!$A$72)&lt;=0.0051),"✔ Bien",IF(NOT(ISNUMBER(B24)),"✘ Escribe solo el número (sin texto ni %).","✘ Revisa el cálculo.")))</f>
        <v/>
      </c>
    </row>
    <row r="25">
      <c r="A25" s="19" t="inlineStr">
        <is>
          <t>Varianza S² (la de clase)</t>
        </is>
      </c>
      <c r="B25" s="20" t="n"/>
      <c r="C25" s="19">
        <f>IF(B25="","",IF(AND(ISNUMBER(B25),ABS(B25-Claves!$A$73)&lt;=0.002026666666666667),"✔ Bien",IF(NOT(ISNUMBER(B25)),"✘ Escribe solo el número (sin texto ni %).",IF(ABS(B25-2.0965517241379312)&lt;=0.0020965517241379314,"✘ Has calculado la cuasivarianza (VAR.S). Aquí se pide VAR.P.",IF(ABS(B25-5.266666666666667)&lt;=0.005266666666666667,"✘ Te falta restar la media al cuadrado.","✘ Revisa el cálculo.")))))</f>
        <v/>
      </c>
    </row>
    <row r="26">
      <c r="A26" s="19" t="inlineStr">
        <is>
          <t>Cuasivarianza s²</t>
        </is>
      </c>
      <c r="B26" s="20" t="n"/>
      <c r="C26" s="19">
        <f>IF(B26="","",IF(AND(ISNUMBER(B26),ABS(B26-Claves!$A$74)&lt;=0.0020965517241379314),"✔ Bien",IF(NOT(ISNUMBER(B26)),"✘ Escribe solo el número (sin texto ni %).",IF(ABS(B26-2.026666666666667)&lt;=0.002026666666666667,"✘ Esa es la varianza (VAR.P). La cuasivarianza es VAR.S.","✘ Revisa el cálculo."))))</f>
        <v/>
      </c>
    </row>
    <row r="27">
      <c r="A27" s="19" t="inlineStr">
        <is>
          <t>Desviación típica S</t>
        </is>
      </c>
      <c r="B27" s="20" t="n"/>
      <c r="C27" s="19">
        <f>IF(B27="","",IF(AND(ISNUMBER(B27),ABS(B27-Claves!$A$75)&lt;=0.0014236104336041748),"✔ Bien",IF(NOT(ISNUMBER(B27)),"✘ Escribe solo el número (sin texto ni %).",IF(ABS(B27-1.4479474176011817)&lt;=0.0014479474176011817,"✘ Has usado DESVEST.S. La desviación típica de clase es DESVEST.P.",IF(ABS(B27-2.026666666666667)&lt;=0.002026666666666667,"✘ Eso es la varianza. La desviación típica es su raíz.","✘ Revisa el cálculo.")))))</f>
        <v/>
      </c>
    </row>
    <row r="28">
      <c r="A28" s="19" t="inlineStr">
        <is>
          <t>Coeficiente de variación (en decimal)</t>
        </is>
      </c>
      <c r="B28" s="20" t="n"/>
      <c r="C28" s="19">
        <f>IF(B28="","",IF(AND(ISNUMBER(B28),OR(ABS(B28-Claves!$A$76)&lt;=0.0007908946853356527,ABS(B28/100-Claves!$A$76)&lt;=0.0007908946853356527)),"✔ Bien",IF(NOT(ISNUMBER(B28)),"✘ Escribe solo el número (sin texto ni %).",IF(OR(ABS(B28-0.8044152320006565)&lt;=0.0008044152320006565,ABS(B28/100-0.8044152320006565)&lt;=0.0008044152320006565),"✘ Usa DESVEST.P en el CV, no DESVEST.S.",IF(OR(ABS(B28-1.2643908456352868)&lt;=0.0012643908456352868,ABS(B28/100-1.2643908456352868)&lt;=0.0012643908456352868),"✘ Está al revés: CV = desviación típica ÷ media.","✘ Revisa el cálculo.")))))</f>
        <v/>
      </c>
    </row>
    <row r="29" ht="30" customHeight="1">
      <c r="A29" s="19" t="inlineStr">
        <is>
          <t>Proporción de empleados con más de 2 (en decimal o %)</t>
        </is>
      </c>
      <c r="B29" s="20" t="n"/>
      <c r="C29" s="19">
        <f>IF(B29="","",IF(AND(ISNUMBER(B29),OR(ABS(B29-Claves!$A$77)&lt;=0.00051,ABS(B29/100-Claves!$A$77)&lt;=0.00051)),"✔ Bien",IF(NOT(ISNUMBER(B29)),"✘ Escribe solo el número (sin texto ni %).",IF(OR(ABS(B29-0.43333333333333335)&lt;=0.00051,ABS(B29/100-0.43333333333333335)&lt;=0.00051),"✘ ""Más de 2"" no incluye el 2.",IF(OR(ABS(B29-9)&lt;=0.009000000000000001,ABS(B29/100-9)&lt;=0.009000000000000001),"✘ Eso es cuántos son. Piden la proporción: divide entre n.","✘ Revisa el cálculo.")))))</f>
        <v/>
      </c>
    </row>
  </sheetData>
  <mergeCells count="11">
    <mergeCell ref="C28:I28"/>
    <mergeCell ref="C23:I23"/>
    <mergeCell ref="C22:I22"/>
    <mergeCell ref="C26:I26"/>
    <mergeCell ref="C21:I21"/>
    <mergeCell ref="C20:I20"/>
    <mergeCell ref="C29:I29"/>
    <mergeCell ref="C24:I24"/>
    <mergeCell ref="C25:I25"/>
    <mergeCell ref="C27:I27"/>
    <mergeCell ref="C19:I19"/>
  </mergeCells>
  <conditionalFormatting sqref="B12">
    <cfRule type="expression" priority="1" dxfId="0">
      <formula>AND(B12&lt;&gt;"",ISNUMBER(B12),ABS(B12-Claves!$A$42)&lt;=0.51)</formula>
    </cfRule>
    <cfRule type="expression" priority="2" dxfId="1">
      <formula>AND(B12&lt;&gt;"",OR(NOT(ISNUMBER(B12)),ABS(B12-Claves!$A$42)&gt;0.51))</formula>
    </cfRule>
  </conditionalFormatting>
  <conditionalFormatting sqref="C12">
    <cfRule type="expression" priority="3" dxfId="0">
      <formula>AND(C12&lt;&gt;"",ISNUMBER(C12),ABS(C12-Claves!$A$43)&lt;=0.00051)</formula>
    </cfRule>
    <cfRule type="expression" priority="4" dxfId="1">
      <formula>AND(C12&lt;&gt;"",OR(NOT(ISNUMBER(C12)),ABS(C12-Claves!$A$43)&gt;0.00051))</formula>
    </cfRule>
  </conditionalFormatting>
  <conditionalFormatting sqref="D12">
    <cfRule type="expression" priority="5" dxfId="0">
      <formula>AND(D12&lt;&gt;"",ISNUMBER(D12),ABS(D12-Claves!$A$44)&lt;=0.51)</formula>
    </cfRule>
    <cfRule type="expression" priority="6" dxfId="1">
      <formula>AND(D12&lt;&gt;"",OR(NOT(ISNUMBER(D12)),ABS(D12-Claves!$A$44)&gt;0.51))</formula>
    </cfRule>
  </conditionalFormatting>
  <conditionalFormatting sqref="E12">
    <cfRule type="expression" priority="7" dxfId="0">
      <formula>AND(E12&lt;&gt;"",ISNUMBER(E12),ABS(E12-Claves!$A$45)&lt;=0.51)</formula>
    </cfRule>
    <cfRule type="expression" priority="8" dxfId="1">
      <formula>AND(E12&lt;&gt;"",OR(NOT(ISNUMBER(E12)),ABS(E12-Claves!$A$45)&gt;0.51))</formula>
    </cfRule>
  </conditionalFormatting>
  <conditionalFormatting sqref="F12">
    <cfRule type="expression" priority="9" dxfId="0">
      <formula>AND(F12&lt;&gt;"",ISNUMBER(F12),ABS(F12-Claves!$A$46)&lt;=0.51)</formula>
    </cfRule>
    <cfRule type="expression" priority="10" dxfId="1">
      <formula>AND(F12&lt;&gt;"",OR(NOT(ISNUMBER(F12)),ABS(F12-Claves!$A$46)&gt;0.51))</formula>
    </cfRule>
  </conditionalFormatting>
  <conditionalFormatting sqref="B13">
    <cfRule type="expression" priority="11" dxfId="0">
      <formula>AND(B13&lt;&gt;"",ISNUMBER(B13),ABS(B13-Claves!$A$47)&lt;=0.51)</formula>
    </cfRule>
    <cfRule type="expression" priority="12" dxfId="1">
      <formula>AND(B13&lt;&gt;"",OR(NOT(ISNUMBER(B13)),ABS(B13-Claves!$A$47)&gt;0.51))</formula>
    </cfRule>
  </conditionalFormatting>
  <conditionalFormatting sqref="C13">
    <cfRule type="expression" priority="13" dxfId="0">
      <formula>AND(C13&lt;&gt;"",ISNUMBER(C13),ABS(C13-Claves!$A$48)&lt;=0.00051)</formula>
    </cfRule>
    <cfRule type="expression" priority="14" dxfId="1">
      <formula>AND(C13&lt;&gt;"",OR(NOT(ISNUMBER(C13)),ABS(C13-Claves!$A$48)&gt;0.00051))</formula>
    </cfRule>
  </conditionalFormatting>
  <conditionalFormatting sqref="D13">
    <cfRule type="expression" priority="15" dxfId="0">
      <formula>AND(D13&lt;&gt;"",ISNUMBER(D13),ABS(D13-Claves!$A$49)&lt;=0.51)</formula>
    </cfRule>
    <cfRule type="expression" priority="16" dxfId="1">
      <formula>AND(D13&lt;&gt;"",OR(NOT(ISNUMBER(D13)),ABS(D13-Claves!$A$49)&gt;0.51))</formula>
    </cfRule>
  </conditionalFormatting>
  <conditionalFormatting sqref="E13">
    <cfRule type="expression" priority="17" dxfId="0">
      <formula>AND(E13&lt;&gt;"",ISNUMBER(E13),ABS(E13-Claves!$A$50)&lt;=0.51)</formula>
    </cfRule>
    <cfRule type="expression" priority="18" dxfId="1">
      <formula>AND(E13&lt;&gt;"",OR(NOT(ISNUMBER(E13)),ABS(E13-Claves!$A$50)&gt;0.51))</formula>
    </cfRule>
  </conditionalFormatting>
  <conditionalFormatting sqref="F13">
    <cfRule type="expression" priority="19" dxfId="0">
      <formula>AND(F13&lt;&gt;"",ISNUMBER(F13),ABS(F13-Claves!$A$51)&lt;=0.51)</formula>
    </cfRule>
    <cfRule type="expression" priority="20" dxfId="1">
      <formula>AND(F13&lt;&gt;"",OR(NOT(ISNUMBER(F13)),ABS(F13-Claves!$A$51)&gt;0.51))</formula>
    </cfRule>
  </conditionalFormatting>
  <conditionalFormatting sqref="B14">
    <cfRule type="expression" priority="21" dxfId="0">
      <formula>AND(B14&lt;&gt;"",ISNUMBER(B14),ABS(B14-Claves!$A$52)&lt;=0.51)</formula>
    </cfRule>
    <cfRule type="expression" priority="22" dxfId="1">
      <formula>AND(B14&lt;&gt;"",OR(NOT(ISNUMBER(B14)),ABS(B14-Claves!$A$52)&gt;0.51))</formula>
    </cfRule>
  </conditionalFormatting>
  <conditionalFormatting sqref="C14">
    <cfRule type="expression" priority="23" dxfId="0">
      <formula>AND(C14&lt;&gt;"",ISNUMBER(C14),ABS(C14-Claves!$A$53)&lt;=0.00051)</formula>
    </cfRule>
    <cfRule type="expression" priority="24" dxfId="1">
      <formula>AND(C14&lt;&gt;"",OR(NOT(ISNUMBER(C14)),ABS(C14-Claves!$A$53)&gt;0.00051))</formula>
    </cfRule>
  </conditionalFormatting>
  <conditionalFormatting sqref="D14">
    <cfRule type="expression" priority="25" dxfId="0">
      <formula>AND(D14&lt;&gt;"",ISNUMBER(D14),ABS(D14-Claves!$A$54)&lt;=0.51)</formula>
    </cfRule>
    <cfRule type="expression" priority="26" dxfId="1">
      <formula>AND(D14&lt;&gt;"",OR(NOT(ISNUMBER(D14)),ABS(D14-Claves!$A$54)&gt;0.51))</formula>
    </cfRule>
  </conditionalFormatting>
  <conditionalFormatting sqref="E14">
    <cfRule type="expression" priority="27" dxfId="0">
      <formula>AND(E14&lt;&gt;"",ISNUMBER(E14),ABS(E14-Claves!$A$55)&lt;=0.51)</formula>
    </cfRule>
    <cfRule type="expression" priority="28" dxfId="1">
      <formula>AND(E14&lt;&gt;"",OR(NOT(ISNUMBER(E14)),ABS(E14-Claves!$A$55)&gt;0.51))</formula>
    </cfRule>
  </conditionalFormatting>
  <conditionalFormatting sqref="F14">
    <cfRule type="expression" priority="29" dxfId="0">
      <formula>AND(F14&lt;&gt;"",ISNUMBER(F14),ABS(F14-Claves!$A$56)&lt;=0.51)</formula>
    </cfRule>
    <cfRule type="expression" priority="30" dxfId="1">
      <formula>AND(F14&lt;&gt;"",OR(NOT(ISNUMBER(F14)),ABS(F14-Claves!$A$56)&gt;0.51))</formula>
    </cfRule>
  </conditionalFormatting>
  <conditionalFormatting sqref="B15">
    <cfRule type="expression" priority="31" dxfId="0">
      <formula>AND(B15&lt;&gt;"",ISNUMBER(B15),ABS(B15-Claves!$A$57)&lt;=0.51)</formula>
    </cfRule>
    <cfRule type="expression" priority="32" dxfId="1">
      <formula>AND(B15&lt;&gt;"",OR(NOT(ISNUMBER(B15)),ABS(B15-Claves!$A$57)&gt;0.51))</formula>
    </cfRule>
  </conditionalFormatting>
  <conditionalFormatting sqref="C15">
    <cfRule type="expression" priority="33" dxfId="0">
      <formula>AND(C15&lt;&gt;"",ISNUMBER(C15),ABS(C15-Claves!$A$58)&lt;=0.00051)</formula>
    </cfRule>
    <cfRule type="expression" priority="34" dxfId="1">
      <formula>AND(C15&lt;&gt;"",OR(NOT(ISNUMBER(C15)),ABS(C15-Claves!$A$58)&gt;0.00051))</formula>
    </cfRule>
  </conditionalFormatting>
  <conditionalFormatting sqref="D15">
    <cfRule type="expression" priority="35" dxfId="0">
      <formula>AND(D15&lt;&gt;"",ISNUMBER(D15),ABS(D15-Claves!$A$59)&lt;=0.51)</formula>
    </cfRule>
    <cfRule type="expression" priority="36" dxfId="1">
      <formula>AND(D15&lt;&gt;"",OR(NOT(ISNUMBER(D15)),ABS(D15-Claves!$A$59)&gt;0.51))</formula>
    </cfRule>
  </conditionalFormatting>
  <conditionalFormatting sqref="E15">
    <cfRule type="expression" priority="37" dxfId="0">
      <formula>AND(E15&lt;&gt;"",ISNUMBER(E15),ABS(E15-Claves!$A$60)&lt;=0.51)</formula>
    </cfRule>
    <cfRule type="expression" priority="38" dxfId="1">
      <formula>AND(E15&lt;&gt;"",OR(NOT(ISNUMBER(E15)),ABS(E15-Claves!$A$60)&gt;0.51))</formula>
    </cfRule>
  </conditionalFormatting>
  <conditionalFormatting sqref="F15">
    <cfRule type="expression" priority="39" dxfId="0">
      <formula>AND(F15&lt;&gt;"",ISNUMBER(F15),ABS(F15-Claves!$A$61)&lt;=0.51)</formula>
    </cfRule>
    <cfRule type="expression" priority="40" dxfId="1">
      <formula>AND(F15&lt;&gt;"",OR(NOT(ISNUMBER(F15)),ABS(F15-Claves!$A$61)&gt;0.51))</formula>
    </cfRule>
  </conditionalFormatting>
  <conditionalFormatting sqref="B16">
    <cfRule type="expression" priority="41" dxfId="0">
      <formula>AND(B16&lt;&gt;"",ISNUMBER(B16),ABS(B16-Claves!$A$62)&lt;=0.51)</formula>
    </cfRule>
    <cfRule type="expression" priority="42" dxfId="1">
      <formula>AND(B16&lt;&gt;"",OR(NOT(ISNUMBER(B16)),ABS(B16-Claves!$A$62)&gt;0.51))</formula>
    </cfRule>
  </conditionalFormatting>
  <conditionalFormatting sqref="C16">
    <cfRule type="expression" priority="43" dxfId="0">
      <formula>AND(C16&lt;&gt;"",ISNUMBER(C16),ABS(C16-Claves!$A$63)&lt;=0.00051)</formula>
    </cfRule>
    <cfRule type="expression" priority="44" dxfId="1">
      <formula>AND(C16&lt;&gt;"",OR(NOT(ISNUMBER(C16)),ABS(C16-Claves!$A$63)&gt;0.00051))</formula>
    </cfRule>
  </conditionalFormatting>
  <conditionalFormatting sqref="D16">
    <cfRule type="expression" priority="45" dxfId="0">
      <formula>AND(D16&lt;&gt;"",ISNUMBER(D16),ABS(D16-Claves!$A$64)&lt;=0.51)</formula>
    </cfRule>
    <cfRule type="expression" priority="46" dxfId="1">
      <formula>AND(D16&lt;&gt;"",OR(NOT(ISNUMBER(D16)),ABS(D16-Claves!$A$64)&gt;0.51))</formula>
    </cfRule>
  </conditionalFormatting>
  <conditionalFormatting sqref="E16">
    <cfRule type="expression" priority="47" dxfId="0">
      <formula>AND(E16&lt;&gt;"",ISNUMBER(E16),ABS(E16-Claves!$A$65)&lt;=0.51)</formula>
    </cfRule>
    <cfRule type="expression" priority="48" dxfId="1">
      <formula>AND(E16&lt;&gt;"",OR(NOT(ISNUMBER(E16)),ABS(E16-Claves!$A$65)&gt;0.51))</formula>
    </cfRule>
  </conditionalFormatting>
  <conditionalFormatting sqref="F16">
    <cfRule type="expression" priority="49" dxfId="0">
      <formula>AND(F16&lt;&gt;"",ISNUMBER(F16),ABS(F16-Claves!$A$66)&lt;=0.51)</formula>
    </cfRule>
    <cfRule type="expression" priority="50" dxfId="1">
      <formula>AND(F16&lt;&gt;"",OR(NOT(ISNUMBER(F16)),ABS(F16-Claves!$A$66)&gt;0.51))</formula>
    </cfRule>
  </conditionalFormatting>
  <conditionalFormatting sqref="B19">
    <cfRule type="expression" priority="51" dxfId="0">
      <formula>LEFT($C19,1)="✔"</formula>
    </cfRule>
    <cfRule type="expression" priority="52" dxfId="1">
      <formula>LEFT($C19,1)="✘"</formula>
    </cfRule>
  </conditionalFormatting>
  <conditionalFormatting sqref="C19:I19">
    <cfRule type="expression" priority="53" dxfId="2">
      <formula>LEFT($C19,1)="✔"</formula>
    </cfRule>
    <cfRule type="expression" priority="54" dxfId="3">
      <formula>LEFT($C19,1)="✘"</formula>
    </cfRule>
  </conditionalFormatting>
  <conditionalFormatting sqref="B20">
    <cfRule type="expression" priority="55" dxfId="0">
      <formula>LEFT($C20,1)="✔"</formula>
    </cfRule>
    <cfRule type="expression" priority="56" dxfId="1">
      <formula>LEFT($C20,1)="✘"</formula>
    </cfRule>
  </conditionalFormatting>
  <conditionalFormatting sqref="C20:I20">
    <cfRule type="expression" priority="57" dxfId="2">
      <formula>LEFT($C20,1)="✔"</formula>
    </cfRule>
    <cfRule type="expression" priority="58" dxfId="3">
      <formula>LEFT($C20,1)="✘"</formula>
    </cfRule>
  </conditionalFormatting>
  <conditionalFormatting sqref="B21">
    <cfRule type="expression" priority="59" dxfId="0">
      <formula>LEFT($C21,1)="✔"</formula>
    </cfRule>
    <cfRule type="expression" priority="60" dxfId="1">
      <formula>LEFT($C21,1)="✘"</formula>
    </cfRule>
  </conditionalFormatting>
  <conditionalFormatting sqref="C21:I21">
    <cfRule type="expression" priority="61" dxfId="2">
      <formula>LEFT($C21,1)="✔"</formula>
    </cfRule>
    <cfRule type="expression" priority="62" dxfId="3">
      <formula>LEFT($C21,1)="✘"</formula>
    </cfRule>
  </conditionalFormatting>
  <conditionalFormatting sqref="B22">
    <cfRule type="expression" priority="63" dxfId="0">
      <formula>LEFT($C22,1)="✔"</formula>
    </cfRule>
    <cfRule type="expression" priority="64" dxfId="1">
      <formula>LEFT($C22,1)="✘"</formula>
    </cfRule>
  </conditionalFormatting>
  <conditionalFormatting sqref="C22:I22">
    <cfRule type="expression" priority="65" dxfId="2">
      <formula>LEFT($C22,1)="✔"</formula>
    </cfRule>
    <cfRule type="expression" priority="66" dxfId="3">
      <formula>LEFT($C22,1)="✘"</formula>
    </cfRule>
  </conditionalFormatting>
  <conditionalFormatting sqref="B23">
    <cfRule type="expression" priority="67" dxfId="0">
      <formula>LEFT($C23,1)="✔"</formula>
    </cfRule>
    <cfRule type="expression" priority="68" dxfId="1">
      <formula>LEFT($C23,1)="✘"</formula>
    </cfRule>
  </conditionalFormatting>
  <conditionalFormatting sqref="C23:I23">
    <cfRule type="expression" priority="69" dxfId="2">
      <formula>LEFT($C23,1)="✔"</formula>
    </cfRule>
    <cfRule type="expression" priority="70" dxfId="3">
      <formula>LEFT($C23,1)="✘"</formula>
    </cfRule>
  </conditionalFormatting>
  <conditionalFormatting sqref="B24">
    <cfRule type="expression" priority="71" dxfId="0">
      <formula>LEFT($C24,1)="✔"</formula>
    </cfRule>
    <cfRule type="expression" priority="72" dxfId="1">
      <formula>LEFT($C24,1)="✘"</formula>
    </cfRule>
  </conditionalFormatting>
  <conditionalFormatting sqref="C24:I24">
    <cfRule type="expression" priority="73" dxfId="2">
      <formula>LEFT($C24,1)="✔"</formula>
    </cfRule>
    <cfRule type="expression" priority="74" dxfId="3">
      <formula>LEFT($C24,1)="✘"</formula>
    </cfRule>
  </conditionalFormatting>
  <conditionalFormatting sqref="B25">
    <cfRule type="expression" priority="75" dxfId="0">
      <formula>LEFT($C25,1)="✔"</formula>
    </cfRule>
    <cfRule type="expression" priority="76" dxfId="1">
      <formula>LEFT($C25,1)="✘"</formula>
    </cfRule>
  </conditionalFormatting>
  <conditionalFormatting sqref="C25:I25">
    <cfRule type="expression" priority="77" dxfId="2">
      <formula>LEFT($C25,1)="✔"</formula>
    </cfRule>
    <cfRule type="expression" priority="78" dxfId="3">
      <formula>LEFT($C25,1)="✘"</formula>
    </cfRule>
  </conditionalFormatting>
  <conditionalFormatting sqref="B26">
    <cfRule type="expression" priority="79" dxfId="0">
      <formula>LEFT($C26,1)="✔"</formula>
    </cfRule>
    <cfRule type="expression" priority="80" dxfId="1">
      <formula>LEFT($C26,1)="✘"</formula>
    </cfRule>
  </conditionalFormatting>
  <conditionalFormatting sqref="C26:I26">
    <cfRule type="expression" priority="81" dxfId="2">
      <formula>LEFT($C26,1)="✔"</formula>
    </cfRule>
    <cfRule type="expression" priority="82" dxfId="3">
      <formula>LEFT($C26,1)="✘"</formula>
    </cfRule>
  </conditionalFormatting>
  <conditionalFormatting sqref="B27">
    <cfRule type="expression" priority="83" dxfId="0">
      <formula>LEFT($C27,1)="✔"</formula>
    </cfRule>
    <cfRule type="expression" priority="84" dxfId="1">
      <formula>LEFT($C27,1)="✘"</formula>
    </cfRule>
  </conditionalFormatting>
  <conditionalFormatting sqref="C27:I27">
    <cfRule type="expression" priority="85" dxfId="2">
      <formula>LEFT($C27,1)="✔"</formula>
    </cfRule>
    <cfRule type="expression" priority="86" dxfId="3">
      <formula>LEFT($C27,1)="✘"</formula>
    </cfRule>
  </conditionalFormatting>
  <conditionalFormatting sqref="B28">
    <cfRule type="expression" priority="87" dxfId="0">
      <formula>LEFT($C28,1)="✔"</formula>
    </cfRule>
    <cfRule type="expression" priority="88" dxfId="1">
      <formula>LEFT($C28,1)="✘"</formula>
    </cfRule>
  </conditionalFormatting>
  <conditionalFormatting sqref="C28:I28">
    <cfRule type="expression" priority="89" dxfId="2">
      <formula>LEFT($C28,1)="✔"</formula>
    </cfRule>
    <cfRule type="expression" priority="90" dxfId="3">
      <formula>LEFT($C28,1)="✘"</formula>
    </cfRule>
  </conditionalFormatting>
  <conditionalFormatting sqref="B29">
    <cfRule type="expression" priority="91" dxfId="0">
      <formula>LEFT($C29,1)="✔"</formula>
    </cfRule>
    <cfRule type="expression" priority="92" dxfId="1">
      <formula>LEFT($C29,1)="✘"</formula>
    </cfRule>
  </conditionalFormatting>
  <conditionalFormatting sqref="C29:I29">
    <cfRule type="expression" priority="93" dxfId="2">
      <formula>LEFT($C29,1)="✔"</formula>
    </cfRule>
    <cfRule type="expression" priority="94" dxfId="3">
      <formula>LEFT($C29,1)="✘"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FD0"/>
    <outlinePr summaryBelow="1" summaryRight="1"/>
    <pageSetUpPr/>
  </sheetPr>
  <dimension ref="A1:K21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Variable discreta: tabla y medidas · Nivel 3 · Sin ayuda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SUMPRODUCT(--(LEFT($C$1:$C$27,1)="✔"))</f>
        <v/>
      </c>
      <c r="G2" s="8" t="inlineStr">
        <is>
          <t>de 11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Número de días de teletrabajo a la semana de 30 empleados.</t>
        </is>
      </c>
    </row>
    <row r="6">
      <c r="A6" s="8" t="inlineStr">
        <is>
          <t>Datos</t>
        </is>
      </c>
      <c r="B6" s="12" t="n">
        <v>3</v>
      </c>
      <c r="C6" s="12" t="n">
        <v>3</v>
      </c>
      <c r="D6" s="12" t="n">
        <v>3</v>
      </c>
      <c r="E6" s="12" t="n">
        <v>0</v>
      </c>
      <c r="F6" s="12" t="n">
        <v>0</v>
      </c>
      <c r="G6" s="12" t="n">
        <v>4</v>
      </c>
      <c r="H6" s="12" t="n">
        <v>1</v>
      </c>
      <c r="I6" s="12" t="n">
        <v>0</v>
      </c>
      <c r="J6" s="12" t="n">
        <v>4</v>
      </c>
      <c r="K6" s="12" t="n">
        <v>5</v>
      </c>
    </row>
    <row r="7">
      <c r="B7" s="12" t="n">
        <v>0</v>
      </c>
      <c r="C7" s="12" t="n">
        <v>3</v>
      </c>
      <c r="D7" s="12" t="n">
        <v>0</v>
      </c>
      <c r="E7" s="12" t="n">
        <v>1</v>
      </c>
      <c r="F7" s="12" t="n">
        <v>3</v>
      </c>
      <c r="G7" s="12" t="n">
        <v>1</v>
      </c>
      <c r="H7" s="12" t="n">
        <v>1</v>
      </c>
      <c r="I7" s="12" t="n">
        <v>0</v>
      </c>
      <c r="J7" s="12" t="n">
        <v>3</v>
      </c>
      <c r="K7" s="12" t="n">
        <v>1</v>
      </c>
    </row>
    <row r="8">
      <c r="B8" s="12" t="n">
        <v>0</v>
      </c>
      <c r="C8" s="12" t="n">
        <v>2</v>
      </c>
      <c r="D8" s="12" t="n">
        <v>5</v>
      </c>
      <c r="E8" s="12" t="n">
        <v>1</v>
      </c>
      <c r="F8" s="12" t="n">
        <v>2</v>
      </c>
      <c r="G8" s="12" t="n">
        <v>5</v>
      </c>
      <c r="H8" s="12" t="n">
        <v>0</v>
      </c>
      <c r="I8" s="12" t="n">
        <v>1</v>
      </c>
      <c r="J8" s="12" t="n">
        <v>5</v>
      </c>
      <c r="K8" s="12" t="n">
        <v>0</v>
      </c>
    </row>
    <row r="9"/>
    <row r="10">
      <c r="A10" s="13" t="inlineStr">
        <is>
          <t>Preguntas</t>
        </is>
      </c>
    </row>
    <row r="11">
      <c r="A11" s="19" t="inlineStr">
        <is>
          <t>Tamaño de la muestra (n)</t>
        </is>
      </c>
      <c r="B11" s="20" t="n"/>
      <c r="C11" s="19">
        <f>IF(B11="","",IF(AND(ISNUMBER(B11),ABS(B11-Claves!$A$78)&lt;=0.51),"✔ Bien",IF(NOT(ISNUMBER(B11)),"✘ Escribe solo el número (sin texto ni %).","✘ Revisa el cálculo.")))</f>
        <v/>
      </c>
    </row>
    <row r="12">
      <c r="A12" s="19" t="inlineStr">
        <is>
          <t>Media</t>
        </is>
      </c>
      <c r="B12" s="20" t="n"/>
      <c r="C12" s="19">
        <f>IF(B12="","",IF(AND(ISNUMBER(B12),ABS(B12-Claves!$A$79)&lt;=0.0051),"✔ Bien",IF(NOT(ISNUMBER(B12)),"✘ Escribe solo el número (sin texto ni %).",IF(ABS(B12-2.5)&lt;=0.0051,"✘ Has hecho la media de los valores distintos. Cada valor cuenta tantas veces como se repite.","✘ Revisa el cálculo."))))</f>
        <v/>
      </c>
    </row>
    <row r="13">
      <c r="A13" s="19" t="inlineStr">
        <is>
          <t>Mediana</t>
        </is>
      </c>
      <c r="B13" s="20" t="n"/>
      <c r="C13" s="19">
        <f>IF(B13="","",IF(AND(ISNUMBER(B13),ABS(B13-Claves!$A$80)&lt;=0.0051),"✔ Bien",IF(NOT(ISNUMBER(B13)),"✘ Escribe solo el número (sin texto ni %).","✘ Revisa el cálculo.")))</f>
        <v/>
      </c>
    </row>
    <row r="14">
      <c r="A14" s="19" t="inlineStr">
        <is>
          <t>Moda</t>
        </is>
      </c>
      <c r="B14" s="20" t="n"/>
      <c r="C14" s="19">
        <f>IF(B14="","",IF(AND(ISNUMBER(B14),ABS(B14-Claves!$A$81)&lt;=0.51),"✔ Bien",IF(NOT(ISNUMBER(B14)),"✘ Escribe solo el número (sin texto ni %).",IF(ABS(B14-9)&lt;=0.51,"✘ Eso es la frecuencia más alta. La moda es el VALOR que tiene esa frecuencia.","✘ Revisa el cálculo."))))</f>
        <v/>
      </c>
    </row>
    <row r="15">
      <c r="A15" s="19" t="inlineStr">
        <is>
          <t>Primer cuartil (con CUARTIL.INC)</t>
        </is>
      </c>
      <c r="B15" s="20" t="n"/>
      <c r="C15" s="19">
        <f>IF(B15="","",IF(AND(ISNUMBER(B15),ABS(B15-Claves!$A$82)&lt;=0.0051),"✔ Bien",IF(NOT(ISNUMBER(B15)),"✘ Escribe solo el número (sin texto ni %).","✘ Revisa el cálculo.")))</f>
        <v/>
      </c>
    </row>
    <row r="16">
      <c r="A16" s="19" t="inlineStr">
        <is>
          <t>Tercer cuartil (con CUARTIL.INC)</t>
        </is>
      </c>
      <c r="B16" s="20" t="n"/>
      <c r="C16" s="19">
        <f>IF(B16="","",IF(AND(ISNUMBER(B16),ABS(B16-Claves!$A$83)&lt;=0.0051),"✔ Bien",IF(NOT(ISNUMBER(B16)),"✘ Escribe solo el número (sin texto ni %).","✘ Revisa el cálculo.")))</f>
        <v/>
      </c>
    </row>
    <row r="17">
      <c r="A17" s="19" t="inlineStr">
        <is>
          <t>Varianza S² (la de clase)</t>
        </is>
      </c>
      <c r="B17" s="20" t="n"/>
      <c r="C17" s="19">
        <f>IF(B17="","",IF(AND(ISNUMBER(B17),ABS(B17-Claves!$A$84)&lt;=0.0030900000000000003),"✔ Bien",IF(NOT(ISNUMBER(B17)),"✘ Escribe solo el número (sin texto ni %).",IF(ABS(B17-3.1965517241379313)&lt;=0.003196551724137931,"✘ Has calculado la cuasivarianza (VAR.S). Aquí se pide VAR.P.",IF(ABS(B17-6.7)&lt;=0.0067,"✘ Te falta restar la media al cuadrado.","✘ Revisa el cálculo.")))))</f>
        <v/>
      </c>
    </row>
    <row r="18">
      <c r="A18" s="19" t="inlineStr">
        <is>
          <t>Cuasivarianza s²</t>
        </is>
      </c>
      <c r="B18" s="20" t="n"/>
      <c r="C18" s="19">
        <f>IF(B18="","",IF(AND(ISNUMBER(B18),ABS(B18-Claves!$A$85)&lt;=0.003196551724137931),"✔ Bien",IF(NOT(ISNUMBER(B18)),"✘ Escribe solo el número (sin texto ni %).",IF(ABS(B18-3.0900000000000003)&lt;=0.0030900000000000003,"✘ Esa es la varianza (VAR.P). La cuasivarianza es VAR.S.","✘ Revisa el cálculo."))))</f>
        <v/>
      </c>
    </row>
    <row r="19">
      <c r="A19" s="19" t="inlineStr">
        <is>
          <t>Desviación típica S</t>
        </is>
      </c>
      <c r="B19" s="20" t="n"/>
      <c r="C19" s="19">
        <f>IF(B19="","",IF(AND(ISNUMBER(B19),ABS(B19-Claves!$A$86)&lt;=0.0017578395831246948),"✔ Bien",IF(NOT(ISNUMBER(B19)),"✘ Escribe solo el número (sin texto ni %).",IF(ABS(B19-1.7878902998053128)&lt;=0.0017878902998053128,"✘ Has usado DESVEST.S. La desviación típica de clase es DESVEST.P.",IF(ABS(B19-3.0900000000000003)&lt;=0.0030900000000000003,"✘ Eso es la varianza. La desviación típica es su raíz.","✘ Revisa el cálculo.")))))</f>
        <v/>
      </c>
    </row>
    <row r="20">
      <c r="A20" s="19" t="inlineStr">
        <is>
          <t>Coeficiente de variación (en decimal)</t>
        </is>
      </c>
      <c r="B20" s="20" t="n"/>
      <c r="C20" s="19">
        <f>IF(B20="","",IF(AND(ISNUMBER(B20),OR(ABS(B20-Claves!$A$87)&lt;=0.0009251787279603657,ABS(B20/100-Claves!$A$87)&lt;=0.0009251787279603657)),"✔ Bien",IF(NOT(ISNUMBER(B20)),"✘ Escribe solo el número (sin texto ni %).",IF(OR(ABS(B20-0.9409948946343752)&lt;=0.0009409948946343753,ABS(B20/100-0.9409948946343752)&lt;=0.0009409948946343753),"✘ Usa DESVEST.P en el CV, no DESVEST.S.",IF(OR(ABS(B20-1.0808722355782912)&lt;=0.0010808722355782911,ABS(B20/100-1.0808722355782912)&lt;=0.0010808722355782911),"✘ Está al revés: CV = desviación típica ÷ media.","✘ Revisa el cálculo.")))))</f>
        <v/>
      </c>
    </row>
    <row r="21" ht="30" customHeight="1">
      <c r="A21" s="19" t="inlineStr">
        <is>
          <t>Proporción de empleados con más de 2 (en decimal o %)</t>
        </is>
      </c>
      <c r="B21" s="20" t="n"/>
      <c r="C21" s="19">
        <f>IF(B21="","",IF(AND(ISNUMBER(B21),OR(ABS(B21-Claves!$A$88)&lt;=0.00051,ABS(B21/100-Claves!$A$88)&lt;=0.00051)),"✔ Bien",IF(NOT(ISNUMBER(B21)),"✘ Escribe solo el número (sin texto ni %).",IF(OR(ABS(B21-0.4666666666666667)&lt;=0.00051,ABS(B21/100-0.4666666666666667)&lt;=0.00051),"✘ ""Más de 2"" no incluye el 2.",IF(OR(ABS(B21-12)&lt;=0.012,ABS(B21/100-12)&lt;=0.012),"✘ Eso es cuántos son. Piden la proporción: divide entre n.","✘ Revisa el cálculo.")))))</f>
        <v/>
      </c>
    </row>
  </sheetData>
  <mergeCells count="11">
    <mergeCell ref="C14:I14"/>
    <mergeCell ref="C13:I13"/>
    <mergeCell ref="C18:I18"/>
    <mergeCell ref="C17:I17"/>
    <mergeCell ref="C21:I21"/>
    <mergeCell ref="C20:I20"/>
    <mergeCell ref="C12:I12"/>
    <mergeCell ref="C16:I16"/>
    <mergeCell ref="C15:I15"/>
    <mergeCell ref="C11:I11"/>
    <mergeCell ref="C19:I19"/>
  </mergeCells>
  <conditionalFormatting sqref="B11">
    <cfRule type="expression" priority="1" dxfId="0">
      <formula>LEFT($C11,1)="✔"</formula>
    </cfRule>
    <cfRule type="expression" priority="2" dxfId="1">
      <formula>LEFT($C11,1)="✘"</formula>
    </cfRule>
  </conditionalFormatting>
  <conditionalFormatting sqref="C11:I11">
    <cfRule type="expression" priority="3" dxfId="2">
      <formula>LEFT($C11,1)="✔"</formula>
    </cfRule>
    <cfRule type="expression" priority="4" dxfId="3">
      <formula>LEFT($C11,1)="✘"</formula>
    </cfRule>
  </conditionalFormatting>
  <conditionalFormatting sqref="B12">
    <cfRule type="expression" priority="5" dxfId="0">
      <formula>LEFT($C12,1)="✔"</formula>
    </cfRule>
    <cfRule type="expression" priority="6" dxfId="1">
      <formula>LEFT($C12,1)="✘"</formula>
    </cfRule>
  </conditionalFormatting>
  <conditionalFormatting sqref="C12:I12">
    <cfRule type="expression" priority="7" dxfId="2">
      <formula>LEFT($C12,1)="✔"</formula>
    </cfRule>
    <cfRule type="expression" priority="8" dxfId="3">
      <formula>LEFT($C12,1)="✘"</formula>
    </cfRule>
  </conditionalFormatting>
  <conditionalFormatting sqref="B13">
    <cfRule type="expression" priority="9" dxfId="0">
      <formula>LEFT($C13,1)="✔"</formula>
    </cfRule>
    <cfRule type="expression" priority="10" dxfId="1">
      <formula>LEFT($C13,1)="✘"</formula>
    </cfRule>
  </conditionalFormatting>
  <conditionalFormatting sqref="C13:I13">
    <cfRule type="expression" priority="11" dxfId="2">
      <formula>LEFT($C13,1)="✔"</formula>
    </cfRule>
    <cfRule type="expression" priority="12" dxfId="3">
      <formula>LEFT($C13,1)="✘"</formula>
    </cfRule>
  </conditionalFormatting>
  <conditionalFormatting sqref="B14">
    <cfRule type="expression" priority="13" dxfId="0">
      <formula>LEFT($C14,1)="✔"</formula>
    </cfRule>
    <cfRule type="expression" priority="14" dxfId="1">
      <formula>LEFT($C14,1)="✘"</formula>
    </cfRule>
  </conditionalFormatting>
  <conditionalFormatting sqref="C14:I14">
    <cfRule type="expression" priority="15" dxfId="2">
      <formula>LEFT($C14,1)="✔"</formula>
    </cfRule>
    <cfRule type="expression" priority="16" dxfId="3">
      <formula>LEFT($C14,1)="✘"</formula>
    </cfRule>
  </conditionalFormatting>
  <conditionalFormatting sqref="B15">
    <cfRule type="expression" priority="17" dxfId="0">
      <formula>LEFT($C15,1)="✔"</formula>
    </cfRule>
    <cfRule type="expression" priority="18" dxfId="1">
      <formula>LEFT($C15,1)="✘"</formula>
    </cfRule>
  </conditionalFormatting>
  <conditionalFormatting sqref="C15:I15">
    <cfRule type="expression" priority="19" dxfId="2">
      <formula>LEFT($C15,1)="✔"</formula>
    </cfRule>
    <cfRule type="expression" priority="20" dxfId="3">
      <formula>LEFT($C15,1)="✘"</formula>
    </cfRule>
  </conditionalFormatting>
  <conditionalFormatting sqref="B16">
    <cfRule type="expression" priority="21" dxfId="0">
      <formula>LEFT($C16,1)="✔"</formula>
    </cfRule>
    <cfRule type="expression" priority="22" dxfId="1">
      <formula>LEFT($C16,1)="✘"</formula>
    </cfRule>
  </conditionalFormatting>
  <conditionalFormatting sqref="C16:I16">
    <cfRule type="expression" priority="23" dxfId="2">
      <formula>LEFT($C16,1)="✔"</formula>
    </cfRule>
    <cfRule type="expression" priority="24" dxfId="3">
      <formula>LEFT($C16,1)="✘"</formula>
    </cfRule>
  </conditionalFormatting>
  <conditionalFormatting sqref="B17">
    <cfRule type="expression" priority="25" dxfId="0">
      <formula>LEFT($C17,1)="✔"</formula>
    </cfRule>
    <cfRule type="expression" priority="26" dxfId="1">
      <formula>LEFT($C17,1)="✘"</formula>
    </cfRule>
  </conditionalFormatting>
  <conditionalFormatting sqref="C17:I17">
    <cfRule type="expression" priority="27" dxfId="2">
      <formula>LEFT($C17,1)="✔"</formula>
    </cfRule>
    <cfRule type="expression" priority="28" dxfId="3">
      <formula>LEFT($C17,1)="✘"</formula>
    </cfRule>
  </conditionalFormatting>
  <conditionalFormatting sqref="B18">
    <cfRule type="expression" priority="29" dxfId="0">
      <formula>LEFT($C18,1)="✔"</formula>
    </cfRule>
    <cfRule type="expression" priority="30" dxfId="1">
      <formula>LEFT($C18,1)="✘"</formula>
    </cfRule>
  </conditionalFormatting>
  <conditionalFormatting sqref="C18:I18">
    <cfRule type="expression" priority="31" dxfId="2">
      <formula>LEFT($C18,1)="✔"</formula>
    </cfRule>
    <cfRule type="expression" priority="32" dxfId="3">
      <formula>LEFT($C18,1)="✘"</formula>
    </cfRule>
  </conditionalFormatting>
  <conditionalFormatting sqref="B19">
    <cfRule type="expression" priority="33" dxfId="0">
      <formula>LEFT($C19,1)="✔"</formula>
    </cfRule>
    <cfRule type="expression" priority="34" dxfId="1">
      <formula>LEFT($C19,1)="✘"</formula>
    </cfRule>
  </conditionalFormatting>
  <conditionalFormatting sqref="C19:I19">
    <cfRule type="expression" priority="35" dxfId="2">
      <formula>LEFT($C19,1)="✔"</formula>
    </cfRule>
    <cfRule type="expression" priority="36" dxfId="3">
      <formula>LEFT($C19,1)="✘"</formula>
    </cfRule>
  </conditionalFormatting>
  <conditionalFormatting sqref="B20">
    <cfRule type="expression" priority="37" dxfId="0">
      <formula>LEFT($C20,1)="✔"</formula>
    </cfRule>
    <cfRule type="expression" priority="38" dxfId="1">
      <formula>LEFT($C20,1)="✘"</formula>
    </cfRule>
  </conditionalFormatting>
  <conditionalFormatting sqref="C20:I20">
    <cfRule type="expression" priority="39" dxfId="2">
      <formula>LEFT($C20,1)="✔"</formula>
    </cfRule>
    <cfRule type="expression" priority="40" dxfId="3">
      <formula>LEFT($C20,1)="✘"</formula>
    </cfRule>
  </conditionalFormatting>
  <conditionalFormatting sqref="B21">
    <cfRule type="expression" priority="41" dxfId="0">
      <formula>LEFT($C21,1)="✔"</formula>
    </cfRule>
    <cfRule type="expression" priority="42" dxfId="1">
      <formula>LEFT($C21,1)="✘"</formula>
    </cfRule>
  </conditionalFormatting>
  <conditionalFormatting sqref="C21:I21">
    <cfRule type="expression" priority="43" dxfId="2">
      <formula>LEFT($C21,1)="✔"</formula>
    </cfRule>
    <cfRule type="expression" priority="44" dxfId="3">
      <formula>LEFT($C21,1)="✘"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FD0"/>
    <outlinePr summaryBelow="1" summaryRight="1"/>
    <pageSetUpPr/>
  </sheetPr>
  <dimension ref="A1:I24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Datos en intervalos (amplitudes distintas) · Nivel 1 · Con guía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SUMPRODUCT(--(LEFT($C$1:$C$30,1)="✔"))</f>
        <v/>
      </c>
      <c r="G2" s="8" t="inlineStr">
        <is>
          <t>de 8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Salario mensual (€) de los empleados de una empresa.</t>
        </is>
      </c>
    </row>
    <row r="6">
      <c r="A6" s="13" t="inlineStr">
        <is>
          <t>Paso 1 · Tabla de trabajo</t>
        </is>
      </c>
    </row>
    <row r="7">
      <c r="A7" s="14" t="inlineStr">
        <is>
          <t>💡 Marca = punto medio. Amplitud = extremo superior − inferior. Densidad = nᵢ ÷ amplitud (las amplitudes NO son iguales).</t>
        </is>
      </c>
    </row>
    <row r="8">
      <c r="A8" s="15" t="inlineStr">
        <is>
          <t>Intervalo</t>
        </is>
      </c>
      <c r="B8" s="15" t="inlineStr">
        <is>
          <t>nᵢ</t>
        </is>
      </c>
      <c r="C8" s="15" t="inlineStr">
        <is>
          <t>Marca xᵢ</t>
        </is>
      </c>
      <c r="D8" s="15" t="inlineStr">
        <is>
          <t>Amplitud aᵢ</t>
        </is>
      </c>
      <c r="E8" s="15" t="inlineStr">
        <is>
          <t>Densidad dᵢ</t>
        </is>
      </c>
      <c r="F8" s="15" t="inlineStr">
        <is>
          <t>xᵢ·nᵢ</t>
        </is>
      </c>
      <c r="G8" s="15" t="inlineStr">
        <is>
          <t>xᵢ²·nᵢ</t>
        </is>
      </c>
      <c r="H8" s="15" t="inlineStr">
        <is>
          <t>Nᵢ</t>
        </is>
      </c>
    </row>
    <row r="9" ht="30" customHeight="1">
      <c r="A9" s="16" t="inlineStr">
        <is>
          <t>Pista →</t>
        </is>
      </c>
      <c r="C9" s="17" t="inlineStr">
        <is>
          <t>ej. =(Linf+Lsup)/2</t>
        </is>
      </c>
      <c r="D9" s="17" t="inlineStr">
        <is>
          <t>ej. =Lsup−Linf</t>
        </is>
      </c>
      <c r="E9" s="17" t="inlineStr">
        <is>
          <t>ej. =nᵢ/aᵢ</t>
        </is>
      </c>
      <c r="F9" s="17" t="inlineStr">
        <is>
          <t>ej. =xᵢ*nᵢ</t>
        </is>
      </c>
      <c r="G9" s="17" t="inlineStr">
        <is>
          <t>ej. =xᵢ^2*nᵢ</t>
        </is>
      </c>
      <c r="H9" s="17" t="inlineStr">
        <is>
          <t>ej. =Nᵢ₋₁+nᵢ</t>
        </is>
      </c>
    </row>
    <row r="10">
      <c r="A10" s="12" t="inlineStr">
        <is>
          <t>[800, 1000]</t>
        </is>
      </c>
      <c r="B10" s="12" t="n">
        <v>8</v>
      </c>
      <c r="C10" s="18" t="n"/>
      <c r="D10" s="18" t="n"/>
      <c r="E10" s="18" t="n"/>
      <c r="F10" s="18" t="n"/>
      <c r="G10" s="18" t="n"/>
      <c r="H10" s="18" t="n"/>
    </row>
    <row r="11">
      <c r="A11" s="12" t="inlineStr">
        <is>
          <t>(1000, 1200]</t>
        </is>
      </c>
      <c r="B11" s="12" t="n">
        <v>22</v>
      </c>
      <c r="C11" s="18" t="n"/>
      <c r="D11" s="18" t="n"/>
      <c r="E11" s="18" t="n"/>
      <c r="F11" s="18" t="n"/>
      <c r="G11" s="18" t="n"/>
      <c r="H11" s="18" t="n"/>
    </row>
    <row r="12">
      <c r="A12" s="12" t="inlineStr">
        <is>
          <t>(1200, 1500]</t>
        </is>
      </c>
      <c r="B12" s="12" t="n">
        <v>33</v>
      </c>
      <c r="C12" s="18" t="n"/>
      <c r="D12" s="18" t="n"/>
      <c r="E12" s="18" t="n"/>
      <c r="F12" s="18" t="n"/>
      <c r="G12" s="18" t="n"/>
      <c r="H12" s="18" t="n"/>
    </row>
    <row r="13">
      <c r="A13" s="12" t="inlineStr">
        <is>
          <t>(1500, 2000]</t>
        </is>
      </c>
      <c r="B13" s="12" t="n">
        <v>27</v>
      </c>
      <c r="C13" s="18" t="n"/>
      <c r="D13" s="18" t="n"/>
      <c r="E13" s="18" t="n"/>
      <c r="F13" s="18" t="n"/>
      <c r="G13" s="18" t="n"/>
      <c r="H13" s="18" t="n"/>
    </row>
    <row r="14">
      <c r="A14" s="12" t="inlineStr">
        <is>
          <t>(2000, 3000]</t>
        </is>
      </c>
      <c r="B14" s="12" t="n">
        <v>10</v>
      </c>
      <c r="C14" s="18" t="n"/>
      <c r="D14" s="18" t="n"/>
      <c r="E14" s="18" t="n"/>
      <c r="F14" s="18" t="n"/>
      <c r="G14" s="18" t="n"/>
      <c r="H14" s="18" t="n"/>
    </row>
    <row r="15"/>
    <row r="16">
      <c r="A16" s="13" t="inlineStr">
        <is>
          <t>Paso 2 · Medidas</t>
        </is>
      </c>
    </row>
    <row r="17">
      <c r="A17" s="19" t="inlineStr">
        <is>
          <t>n (total)</t>
        </is>
      </c>
      <c r="B17" s="20" t="n"/>
      <c r="C17" s="19">
        <f>IF(B17="","",IF(AND(ISNUMBER(B17),ABS(B17-Claves!$A$119)&lt;=0.51),"✔ Bien",IF(NOT(ISNUMBER(B17)),"✘ Escribe solo el número (sin texto ni %).","✘ Revisa el cálculo.")))</f>
        <v/>
      </c>
    </row>
    <row r="18">
      <c r="A18" s="19" t="inlineStr">
        <is>
          <t>Media</t>
        </is>
      </c>
      <c r="B18" s="20" t="n"/>
      <c r="C18" s="19">
        <f>IF(B18="","",IF(AND(ISNUMBER(B18),ABS(B18-Claves!$A$120)&lt;=1.482),"✔ Bien",IF(NOT(ISNUMBER(B18)),"✘ Escribe solo el número (sin texto ni %).",IF(ABS(B18-1520)&lt;=1.52,"✘ Has promediado las marcas sin multiplicar por las frecuencias.","✘ Revisa el cálculo."))))</f>
        <v/>
      </c>
    </row>
    <row r="19">
      <c r="A19" s="19" t="inlineStr">
        <is>
          <t>Varianza S²</t>
        </is>
      </c>
      <c r="B19" s="20" t="n"/>
      <c r="C19" s="19">
        <f>IF(B19="","",IF(AND(ISNUMBER(B19),ABS(B19-Claves!$A$121)&lt;=187.976),"✔ Bien",IF(NOT(ISNUMBER(B19)),"✘ Escribe solo el número (sin texto ni %).",IF(ABS(B19-2384300)&lt;=2384.3,"✘ Te falta restar la media al cuadrado.",IF(ABS(B19-189874.74747474748)&lt;=189.8747474747475,"✘ Esa es la cuasivarianza (divide entre n−1). Aquí se pide la varianza.","✘ Revisa el cálculo.")))))</f>
        <v/>
      </c>
    </row>
    <row r="20">
      <c r="A20" s="19" t="inlineStr">
        <is>
          <t>Desviación típica S</t>
        </is>
      </c>
      <c r="B20" s="20" t="n"/>
      <c r="C20" s="19">
        <f>IF(B20="","",IF(AND(ISNUMBER(B20),ABS(B20-Claves!$A$122)&lt;=0.43356199095400416),"✔ Bien",IF(NOT(ISNUMBER(B20)),"✘ Escribe solo el número (sin texto ni %).","✘ Revisa el cálculo.")))</f>
        <v/>
      </c>
    </row>
    <row r="21">
      <c r="A21" s="19" t="inlineStr">
        <is>
          <t>Coeficiente de variación (decimal)</t>
        </is>
      </c>
      <c r="B21" s="20" t="n"/>
      <c r="C21" s="19">
        <f>IF(B21="","",IF(AND(ISNUMBER(B21),OR(ABS(B21-Claves!$A$123)&lt;=0.00051,ABS(B21/100-Claves!$A$123)&lt;=0.00051)),"✔ Bien",IF(NOT(ISNUMBER(B21)),"✘ Escribe solo el número (sin texto ni %).","✘ Revisa el cálculo.")))</f>
        <v/>
      </c>
    </row>
    <row r="22">
      <c r="A22" s="19" t="inlineStr">
        <is>
          <t>Moda (fórmula de intervalos)</t>
        </is>
      </c>
      <c r="B22" s="20" t="n"/>
      <c r="C22" s="19">
        <f>IF(B22="","",IF(AND(ISNUMBER(B22),ABS(B22-Claves!$A$124)&lt;=1.2),"✔ Bien",IF(NOT(ISNUMBER(B22)),"✘ Escribe solo el número (sin texto ni %).",IF(ABS(B22-1394.1176470588234)&lt;=1.3941176470588235,"✘ Has usado las frecuencias. Con amplitudes distintas, el intervalo modal se elige por la DENSIDAD.","✘ Revisa el cálculo."))))</f>
        <v/>
      </c>
    </row>
    <row r="23">
      <c r="A23" s="19" t="inlineStr">
        <is>
          <t>Mediana</t>
        </is>
      </c>
      <c r="B23" s="20" t="n"/>
      <c r="C23" s="19">
        <f>IF(B23="","",IF(AND(ISNUMBER(B23),ABS(B23-Claves!$A$125)&lt;=1.3818181818181818),"✔ Bien",IF(NOT(ISNUMBER(B23)),"✘ Escribe solo el número (sin texto ni %).",IF(ABS(B23-1350)&lt;=1.35,"✘ Eso es la marca del intervalo. Aplica la fórmula: Linf + (n/2 − Nᵢ₋₁)/nᵢ · aᵢ.","✘ Revisa el cálculo."))))</f>
        <v/>
      </c>
    </row>
    <row r="24" ht="30" customHeight="1">
      <c r="A24" s="19" t="inlineStr">
        <is>
          <t>¿A partir de qué valor se está en el 20 % con valores más altos?</t>
        </is>
      </c>
      <c r="B24" s="20" t="n"/>
      <c r="C24" s="19">
        <f>IF(B24="","",IF(AND(ISNUMBER(B24),ABS(B24-Claves!$A$126)&lt;=1.8148148148148149),"✔ Bien",IF(NOT(ISNUMBER(B24)),"✘ Escribe solo el número (sin texto ni %).",IF(ABS(B24-1109.090909090909)&lt;=1.1090909090909091,"✘ Ese es el percentil 20. ""El 20 % de arriba"" empieza en el percentil 80.","✘ Revisa el cálculo."))))</f>
        <v/>
      </c>
    </row>
  </sheetData>
  <mergeCells count="8">
    <mergeCell ref="C23:I23"/>
    <mergeCell ref="C22:I22"/>
    <mergeCell ref="C18:I18"/>
    <mergeCell ref="C17:I17"/>
    <mergeCell ref="C21:I21"/>
    <mergeCell ref="C20:I20"/>
    <mergeCell ref="C24:I24"/>
    <mergeCell ref="C19:I19"/>
  </mergeCells>
  <conditionalFormatting sqref="C10">
    <cfRule type="expression" priority="1" dxfId="0">
      <formula>AND(C10&lt;&gt;"",ISNUMBER(C10),ABS(C10-Claves!$A$89)&lt;=0.9)</formula>
    </cfRule>
    <cfRule type="expression" priority="2" dxfId="1">
      <formula>AND(C10&lt;&gt;"",OR(NOT(ISNUMBER(C10)),ABS(C10-Claves!$A$89)&gt;0.9))</formula>
    </cfRule>
  </conditionalFormatting>
  <conditionalFormatting sqref="D10">
    <cfRule type="expression" priority="3" dxfId="0">
      <formula>AND(D10&lt;&gt;"",ISNUMBER(D10),ABS(D10-Claves!$A$90)&lt;=0.2)</formula>
    </cfRule>
    <cfRule type="expression" priority="4" dxfId="1">
      <formula>AND(D10&lt;&gt;"",OR(NOT(ISNUMBER(D10)),ABS(D10-Claves!$A$90)&gt;0.2))</formula>
    </cfRule>
  </conditionalFormatting>
  <conditionalFormatting sqref="E10">
    <cfRule type="expression" priority="5" dxfId="0">
      <formula>AND(E10&lt;&gt;"",ISNUMBER(E10),ABS(E10-Claves!$A$91)&lt;=0.00051)</formula>
    </cfRule>
    <cfRule type="expression" priority="6" dxfId="1">
      <formula>AND(E10&lt;&gt;"",OR(NOT(ISNUMBER(E10)),ABS(E10-Claves!$A$91)&gt;0.00051))</formula>
    </cfRule>
  </conditionalFormatting>
  <conditionalFormatting sqref="F10">
    <cfRule type="expression" priority="7" dxfId="0">
      <formula>AND(F10&lt;&gt;"",ISNUMBER(F10),ABS(F10-Claves!$A$92)&lt;=7.2)</formula>
    </cfRule>
    <cfRule type="expression" priority="8" dxfId="1">
      <formula>AND(F10&lt;&gt;"",OR(NOT(ISNUMBER(F10)),ABS(F10-Claves!$A$92)&gt;7.2))</formula>
    </cfRule>
  </conditionalFormatting>
  <conditionalFormatting sqref="G10">
    <cfRule type="expression" priority="9" dxfId="0">
      <formula>AND(G10&lt;&gt;"",ISNUMBER(G10),ABS(G10-Claves!$A$93)&lt;=6480)</formula>
    </cfRule>
    <cfRule type="expression" priority="10" dxfId="1">
      <formula>AND(G10&lt;&gt;"",OR(NOT(ISNUMBER(G10)),ABS(G10-Claves!$A$93)&gt;6480))</formula>
    </cfRule>
  </conditionalFormatting>
  <conditionalFormatting sqref="H10">
    <cfRule type="expression" priority="11" dxfId="0">
      <formula>AND(H10&lt;&gt;"",ISNUMBER(H10),ABS(H10-Claves!$A$94)&lt;=0.51)</formula>
    </cfRule>
    <cfRule type="expression" priority="12" dxfId="1">
      <formula>AND(H10&lt;&gt;"",OR(NOT(ISNUMBER(H10)),ABS(H10-Claves!$A$94)&gt;0.51))</formula>
    </cfRule>
  </conditionalFormatting>
  <conditionalFormatting sqref="C11">
    <cfRule type="expression" priority="13" dxfId="0">
      <formula>AND(C11&lt;&gt;"",ISNUMBER(C11),ABS(C11-Claves!$A$95)&lt;=1.1)</formula>
    </cfRule>
    <cfRule type="expression" priority="14" dxfId="1">
      <formula>AND(C11&lt;&gt;"",OR(NOT(ISNUMBER(C11)),ABS(C11-Claves!$A$95)&gt;1.1))</formula>
    </cfRule>
  </conditionalFormatting>
  <conditionalFormatting sqref="D11">
    <cfRule type="expression" priority="15" dxfId="0">
      <formula>AND(D11&lt;&gt;"",ISNUMBER(D11),ABS(D11-Claves!$A$96)&lt;=0.2)</formula>
    </cfRule>
    <cfRule type="expression" priority="16" dxfId="1">
      <formula>AND(D11&lt;&gt;"",OR(NOT(ISNUMBER(D11)),ABS(D11-Claves!$A$96)&gt;0.2))</formula>
    </cfRule>
  </conditionalFormatting>
  <conditionalFormatting sqref="E11">
    <cfRule type="expression" priority="17" dxfId="0">
      <formula>AND(E11&lt;&gt;"",ISNUMBER(E11),ABS(E11-Claves!$A$97)&lt;=0.00051)</formula>
    </cfRule>
    <cfRule type="expression" priority="18" dxfId="1">
      <formula>AND(E11&lt;&gt;"",OR(NOT(ISNUMBER(E11)),ABS(E11-Claves!$A$97)&gt;0.00051))</formula>
    </cfRule>
  </conditionalFormatting>
  <conditionalFormatting sqref="F11">
    <cfRule type="expression" priority="19" dxfId="0">
      <formula>AND(F11&lt;&gt;"",ISNUMBER(F11),ABS(F11-Claves!$A$98)&lt;=24.2)</formula>
    </cfRule>
    <cfRule type="expression" priority="20" dxfId="1">
      <formula>AND(F11&lt;&gt;"",OR(NOT(ISNUMBER(F11)),ABS(F11-Claves!$A$98)&gt;24.2))</formula>
    </cfRule>
  </conditionalFormatting>
  <conditionalFormatting sqref="G11">
    <cfRule type="expression" priority="21" dxfId="0">
      <formula>AND(G11&lt;&gt;"",ISNUMBER(G11),ABS(G11-Claves!$A$99)&lt;=26620)</formula>
    </cfRule>
    <cfRule type="expression" priority="22" dxfId="1">
      <formula>AND(G11&lt;&gt;"",OR(NOT(ISNUMBER(G11)),ABS(G11-Claves!$A$99)&gt;26620))</formula>
    </cfRule>
  </conditionalFormatting>
  <conditionalFormatting sqref="H11">
    <cfRule type="expression" priority="23" dxfId="0">
      <formula>AND(H11&lt;&gt;"",ISNUMBER(H11),ABS(H11-Claves!$A$100)&lt;=0.51)</formula>
    </cfRule>
    <cfRule type="expression" priority="24" dxfId="1">
      <formula>AND(H11&lt;&gt;"",OR(NOT(ISNUMBER(H11)),ABS(H11-Claves!$A$100)&gt;0.51))</formula>
    </cfRule>
  </conditionalFormatting>
  <conditionalFormatting sqref="C12">
    <cfRule type="expression" priority="25" dxfId="0">
      <formula>AND(C12&lt;&gt;"",ISNUMBER(C12),ABS(C12-Claves!$A$101)&lt;=1.35)</formula>
    </cfRule>
    <cfRule type="expression" priority="26" dxfId="1">
      <formula>AND(C12&lt;&gt;"",OR(NOT(ISNUMBER(C12)),ABS(C12-Claves!$A$101)&gt;1.35))</formula>
    </cfRule>
  </conditionalFormatting>
  <conditionalFormatting sqref="D12">
    <cfRule type="expression" priority="27" dxfId="0">
      <formula>AND(D12&lt;&gt;"",ISNUMBER(D12),ABS(D12-Claves!$A$102)&lt;=0.3)</formula>
    </cfRule>
    <cfRule type="expression" priority="28" dxfId="1">
      <formula>AND(D12&lt;&gt;"",OR(NOT(ISNUMBER(D12)),ABS(D12-Claves!$A$102)&gt;0.3))</formula>
    </cfRule>
  </conditionalFormatting>
  <conditionalFormatting sqref="E12">
    <cfRule type="expression" priority="29" dxfId="0">
      <formula>AND(E12&lt;&gt;"",ISNUMBER(E12),ABS(E12-Claves!$A$103)&lt;=0.00051)</formula>
    </cfRule>
    <cfRule type="expression" priority="30" dxfId="1">
      <formula>AND(E12&lt;&gt;"",OR(NOT(ISNUMBER(E12)),ABS(E12-Claves!$A$103)&gt;0.00051))</formula>
    </cfRule>
  </conditionalFormatting>
  <conditionalFormatting sqref="F12">
    <cfRule type="expression" priority="31" dxfId="0">
      <formula>AND(F12&lt;&gt;"",ISNUMBER(F12),ABS(F12-Claves!$A$104)&lt;=44.550000000000004)</formula>
    </cfRule>
    <cfRule type="expression" priority="32" dxfId="1">
      <formula>AND(F12&lt;&gt;"",OR(NOT(ISNUMBER(F12)),ABS(F12-Claves!$A$104)&gt;44.550000000000004))</formula>
    </cfRule>
  </conditionalFormatting>
  <conditionalFormatting sqref="G12">
    <cfRule type="expression" priority="33" dxfId="0">
      <formula>AND(G12&lt;&gt;"",ISNUMBER(G12),ABS(G12-Claves!$A$105)&lt;=60142.5)</formula>
    </cfRule>
    <cfRule type="expression" priority="34" dxfId="1">
      <formula>AND(G12&lt;&gt;"",OR(NOT(ISNUMBER(G12)),ABS(G12-Claves!$A$105)&gt;60142.5))</formula>
    </cfRule>
  </conditionalFormatting>
  <conditionalFormatting sqref="H12">
    <cfRule type="expression" priority="35" dxfId="0">
      <formula>AND(H12&lt;&gt;"",ISNUMBER(H12),ABS(H12-Claves!$A$106)&lt;=0.51)</formula>
    </cfRule>
    <cfRule type="expression" priority="36" dxfId="1">
      <formula>AND(H12&lt;&gt;"",OR(NOT(ISNUMBER(H12)),ABS(H12-Claves!$A$106)&gt;0.51))</formula>
    </cfRule>
  </conditionalFormatting>
  <conditionalFormatting sqref="C13">
    <cfRule type="expression" priority="37" dxfId="0">
      <formula>AND(C13&lt;&gt;"",ISNUMBER(C13),ABS(C13-Claves!$A$107)&lt;=1.75)</formula>
    </cfRule>
    <cfRule type="expression" priority="38" dxfId="1">
      <formula>AND(C13&lt;&gt;"",OR(NOT(ISNUMBER(C13)),ABS(C13-Claves!$A$107)&gt;1.75))</formula>
    </cfRule>
  </conditionalFormatting>
  <conditionalFormatting sqref="D13">
    <cfRule type="expression" priority="39" dxfId="0">
      <formula>AND(D13&lt;&gt;"",ISNUMBER(D13),ABS(D13-Claves!$A$108)&lt;=0.5)</formula>
    </cfRule>
    <cfRule type="expression" priority="40" dxfId="1">
      <formula>AND(D13&lt;&gt;"",OR(NOT(ISNUMBER(D13)),ABS(D13-Claves!$A$108)&gt;0.5))</formula>
    </cfRule>
  </conditionalFormatting>
  <conditionalFormatting sqref="E13">
    <cfRule type="expression" priority="41" dxfId="0">
      <formula>AND(E13&lt;&gt;"",ISNUMBER(E13),ABS(E13-Claves!$A$109)&lt;=0.00051)</formula>
    </cfRule>
    <cfRule type="expression" priority="42" dxfId="1">
      <formula>AND(E13&lt;&gt;"",OR(NOT(ISNUMBER(E13)),ABS(E13-Claves!$A$109)&gt;0.00051))</formula>
    </cfRule>
  </conditionalFormatting>
  <conditionalFormatting sqref="F13">
    <cfRule type="expression" priority="43" dxfId="0">
      <formula>AND(F13&lt;&gt;"",ISNUMBER(F13),ABS(F13-Claves!$A$110)&lt;=47.25)</formula>
    </cfRule>
    <cfRule type="expression" priority="44" dxfId="1">
      <formula>AND(F13&lt;&gt;"",OR(NOT(ISNUMBER(F13)),ABS(F13-Claves!$A$110)&gt;47.25))</formula>
    </cfRule>
  </conditionalFormatting>
  <conditionalFormatting sqref="G13">
    <cfRule type="expression" priority="45" dxfId="0">
      <formula>AND(G13&lt;&gt;"",ISNUMBER(G13),ABS(G13-Claves!$A$111)&lt;=82687.5)</formula>
    </cfRule>
    <cfRule type="expression" priority="46" dxfId="1">
      <formula>AND(G13&lt;&gt;"",OR(NOT(ISNUMBER(G13)),ABS(G13-Claves!$A$111)&gt;82687.5))</formula>
    </cfRule>
  </conditionalFormatting>
  <conditionalFormatting sqref="H13">
    <cfRule type="expression" priority="47" dxfId="0">
      <formula>AND(H13&lt;&gt;"",ISNUMBER(H13),ABS(H13-Claves!$A$112)&lt;=0.51)</formula>
    </cfRule>
    <cfRule type="expression" priority="48" dxfId="1">
      <formula>AND(H13&lt;&gt;"",OR(NOT(ISNUMBER(H13)),ABS(H13-Claves!$A$112)&gt;0.51))</formula>
    </cfRule>
  </conditionalFormatting>
  <conditionalFormatting sqref="C14">
    <cfRule type="expression" priority="49" dxfId="0">
      <formula>AND(C14&lt;&gt;"",ISNUMBER(C14),ABS(C14-Claves!$A$113)&lt;=2.5)</formula>
    </cfRule>
    <cfRule type="expression" priority="50" dxfId="1">
      <formula>AND(C14&lt;&gt;"",OR(NOT(ISNUMBER(C14)),ABS(C14-Claves!$A$113)&gt;2.5))</formula>
    </cfRule>
  </conditionalFormatting>
  <conditionalFormatting sqref="D14">
    <cfRule type="expression" priority="51" dxfId="0">
      <formula>AND(D14&lt;&gt;"",ISNUMBER(D14),ABS(D14-Claves!$A$114)&lt;=1)</formula>
    </cfRule>
    <cfRule type="expression" priority="52" dxfId="1">
      <formula>AND(D14&lt;&gt;"",OR(NOT(ISNUMBER(D14)),ABS(D14-Claves!$A$114)&gt;1))</formula>
    </cfRule>
  </conditionalFormatting>
  <conditionalFormatting sqref="E14">
    <cfRule type="expression" priority="53" dxfId="0">
      <formula>AND(E14&lt;&gt;"",ISNUMBER(E14),ABS(E14-Claves!$A$115)&lt;=0.00051)</formula>
    </cfRule>
    <cfRule type="expression" priority="54" dxfId="1">
      <formula>AND(E14&lt;&gt;"",OR(NOT(ISNUMBER(E14)),ABS(E14-Claves!$A$115)&gt;0.00051))</formula>
    </cfRule>
  </conditionalFormatting>
  <conditionalFormatting sqref="F14">
    <cfRule type="expression" priority="55" dxfId="0">
      <formula>AND(F14&lt;&gt;"",ISNUMBER(F14),ABS(F14-Claves!$A$116)&lt;=25)</formula>
    </cfRule>
    <cfRule type="expression" priority="56" dxfId="1">
      <formula>AND(F14&lt;&gt;"",OR(NOT(ISNUMBER(F14)),ABS(F14-Claves!$A$116)&gt;25))</formula>
    </cfRule>
  </conditionalFormatting>
  <conditionalFormatting sqref="G14">
    <cfRule type="expression" priority="57" dxfId="0">
      <formula>AND(G14&lt;&gt;"",ISNUMBER(G14),ABS(G14-Claves!$A$117)&lt;=62500)</formula>
    </cfRule>
    <cfRule type="expression" priority="58" dxfId="1">
      <formula>AND(G14&lt;&gt;"",OR(NOT(ISNUMBER(G14)),ABS(G14-Claves!$A$117)&gt;62500))</formula>
    </cfRule>
  </conditionalFormatting>
  <conditionalFormatting sqref="H14">
    <cfRule type="expression" priority="59" dxfId="0">
      <formula>AND(H14&lt;&gt;"",ISNUMBER(H14),ABS(H14-Claves!$A$118)&lt;=0.51)</formula>
    </cfRule>
    <cfRule type="expression" priority="60" dxfId="1">
      <formula>AND(H14&lt;&gt;"",OR(NOT(ISNUMBER(H14)),ABS(H14-Claves!$A$118)&gt;0.51))</formula>
    </cfRule>
  </conditionalFormatting>
  <conditionalFormatting sqref="B17">
    <cfRule type="expression" priority="61" dxfId="0">
      <formula>LEFT($C17,1)="✔"</formula>
    </cfRule>
    <cfRule type="expression" priority="62" dxfId="1">
      <formula>LEFT($C17,1)="✘"</formula>
    </cfRule>
  </conditionalFormatting>
  <conditionalFormatting sqref="C17:I17">
    <cfRule type="expression" priority="63" dxfId="2">
      <formula>LEFT($C17,1)="✔"</formula>
    </cfRule>
    <cfRule type="expression" priority="64" dxfId="3">
      <formula>LEFT($C17,1)="✘"</formula>
    </cfRule>
  </conditionalFormatting>
  <conditionalFormatting sqref="B18">
    <cfRule type="expression" priority="65" dxfId="0">
      <formula>LEFT($C18,1)="✔"</formula>
    </cfRule>
    <cfRule type="expression" priority="66" dxfId="1">
      <formula>LEFT($C18,1)="✘"</formula>
    </cfRule>
  </conditionalFormatting>
  <conditionalFormatting sqref="C18:I18">
    <cfRule type="expression" priority="67" dxfId="2">
      <formula>LEFT($C18,1)="✔"</formula>
    </cfRule>
    <cfRule type="expression" priority="68" dxfId="3">
      <formula>LEFT($C18,1)="✘"</formula>
    </cfRule>
  </conditionalFormatting>
  <conditionalFormatting sqref="B19">
    <cfRule type="expression" priority="69" dxfId="0">
      <formula>LEFT($C19,1)="✔"</formula>
    </cfRule>
    <cfRule type="expression" priority="70" dxfId="1">
      <formula>LEFT($C19,1)="✘"</formula>
    </cfRule>
  </conditionalFormatting>
  <conditionalFormatting sqref="C19:I19">
    <cfRule type="expression" priority="71" dxfId="2">
      <formula>LEFT($C19,1)="✔"</formula>
    </cfRule>
    <cfRule type="expression" priority="72" dxfId="3">
      <formula>LEFT($C19,1)="✘"</formula>
    </cfRule>
  </conditionalFormatting>
  <conditionalFormatting sqref="B20">
    <cfRule type="expression" priority="73" dxfId="0">
      <formula>LEFT($C20,1)="✔"</formula>
    </cfRule>
    <cfRule type="expression" priority="74" dxfId="1">
      <formula>LEFT($C20,1)="✘"</formula>
    </cfRule>
  </conditionalFormatting>
  <conditionalFormatting sqref="C20:I20">
    <cfRule type="expression" priority="75" dxfId="2">
      <formula>LEFT($C20,1)="✔"</formula>
    </cfRule>
    <cfRule type="expression" priority="76" dxfId="3">
      <formula>LEFT($C20,1)="✘"</formula>
    </cfRule>
  </conditionalFormatting>
  <conditionalFormatting sqref="B21">
    <cfRule type="expression" priority="77" dxfId="0">
      <formula>LEFT($C21,1)="✔"</formula>
    </cfRule>
    <cfRule type="expression" priority="78" dxfId="1">
      <formula>LEFT($C21,1)="✘"</formula>
    </cfRule>
  </conditionalFormatting>
  <conditionalFormatting sqref="C21:I21">
    <cfRule type="expression" priority="79" dxfId="2">
      <formula>LEFT($C21,1)="✔"</formula>
    </cfRule>
    <cfRule type="expression" priority="80" dxfId="3">
      <formula>LEFT($C21,1)="✘"</formula>
    </cfRule>
  </conditionalFormatting>
  <conditionalFormatting sqref="B22">
    <cfRule type="expression" priority="81" dxfId="0">
      <formula>LEFT($C22,1)="✔"</formula>
    </cfRule>
    <cfRule type="expression" priority="82" dxfId="1">
      <formula>LEFT($C22,1)="✘"</formula>
    </cfRule>
  </conditionalFormatting>
  <conditionalFormatting sqref="C22:I22">
    <cfRule type="expression" priority="83" dxfId="2">
      <formula>LEFT($C22,1)="✔"</formula>
    </cfRule>
    <cfRule type="expression" priority="84" dxfId="3">
      <formula>LEFT($C22,1)="✘"</formula>
    </cfRule>
  </conditionalFormatting>
  <conditionalFormatting sqref="B23">
    <cfRule type="expression" priority="85" dxfId="0">
      <formula>LEFT($C23,1)="✔"</formula>
    </cfRule>
    <cfRule type="expression" priority="86" dxfId="1">
      <formula>LEFT($C23,1)="✘"</formula>
    </cfRule>
  </conditionalFormatting>
  <conditionalFormatting sqref="C23:I23">
    <cfRule type="expression" priority="87" dxfId="2">
      <formula>LEFT($C23,1)="✔"</formula>
    </cfRule>
    <cfRule type="expression" priority="88" dxfId="3">
      <formula>LEFT($C23,1)="✘"</formula>
    </cfRule>
  </conditionalFormatting>
  <conditionalFormatting sqref="B24">
    <cfRule type="expression" priority="89" dxfId="0">
      <formula>LEFT($C24,1)="✔"</formula>
    </cfRule>
    <cfRule type="expression" priority="90" dxfId="1">
      <formula>LEFT($C24,1)="✘"</formula>
    </cfRule>
  </conditionalFormatting>
  <conditionalFormatting sqref="C24:I24">
    <cfRule type="expression" priority="91" dxfId="2">
      <formula>LEFT($C24,1)="✔"</formula>
    </cfRule>
    <cfRule type="expression" priority="92" dxfId="3">
      <formula>LEFT($C24,1)="✘"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FD0"/>
    <outlinePr summaryBelow="1" summaryRight="1"/>
    <pageSetUpPr/>
  </sheetPr>
  <dimension ref="A1:I2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Datos en intervalos (amplitudes distintas) · Nivel 2 · Con cabeceras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SUMPRODUCT(--(LEFT($C$1:$C$28,1)="✔"))</f>
        <v/>
      </c>
      <c r="G2" s="8" t="inlineStr">
        <is>
          <t>de 8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Superficie (m²) de viviendas de alquiler.</t>
        </is>
      </c>
    </row>
    <row r="6">
      <c r="A6" s="13" t="inlineStr">
        <is>
          <t>Paso 1 · Tabla de trabajo</t>
        </is>
      </c>
    </row>
    <row r="7">
      <c r="A7" s="15" t="inlineStr">
        <is>
          <t>Intervalo</t>
        </is>
      </c>
      <c r="B7" s="15" t="inlineStr">
        <is>
          <t>nᵢ</t>
        </is>
      </c>
      <c r="C7" s="15" t="inlineStr">
        <is>
          <t>Marca xᵢ</t>
        </is>
      </c>
      <c r="D7" s="15" t="inlineStr">
        <is>
          <t>Amplitud aᵢ</t>
        </is>
      </c>
      <c r="E7" s="15" t="inlineStr">
        <is>
          <t>Densidad dᵢ</t>
        </is>
      </c>
      <c r="F7" s="15" t="inlineStr">
        <is>
          <t>xᵢ·nᵢ</t>
        </is>
      </c>
      <c r="G7" s="15" t="inlineStr">
        <is>
          <t>xᵢ²·nᵢ</t>
        </is>
      </c>
      <c r="H7" s="15" t="inlineStr">
        <is>
          <t>Nᵢ</t>
        </is>
      </c>
    </row>
    <row r="8">
      <c r="A8" s="12" t="inlineStr">
        <is>
          <t>[20, 30]</t>
        </is>
      </c>
      <c r="B8" s="12" t="n">
        <v>7</v>
      </c>
      <c r="C8" s="18" t="n"/>
      <c r="D8" s="18" t="n"/>
      <c r="E8" s="18" t="n"/>
      <c r="F8" s="18" t="n"/>
      <c r="G8" s="18" t="n"/>
      <c r="H8" s="18" t="n"/>
    </row>
    <row r="9">
      <c r="A9" s="12" t="inlineStr">
        <is>
          <t>(30, 40]</t>
        </is>
      </c>
      <c r="B9" s="12" t="n">
        <v>14</v>
      </c>
      <c r="C9" s="18" t="n"/>
      <c r="D9" s="18" t="n"/>
      <c r="E9" s="18" t="n"/>
      <c r="F9" s="18" t="n"/>
      <c r="G9" s="18" t="n"/>
      <c r="H9" s="18" t="n"/>
    </row>
    <row r="10">
      <c r="A10" s="12" t="inlineStr">
        <is>
          <t>(40, 60]</t>
        </is>
      </c>
      <c r="B10" s="12" t="n">
        <v>39</v>
      </c>
      <c r="C10" s="18" t="n"/>
      <c r="D10" s="18" t="n"/>
      <c r="E10" s="18" t="n"/>
      <c r="F10" s="18" t="n"/>
      <c r="G10" s="18" t="n"/>
      <c r="H10" s="18" t="n"/>
    </row>
    <row r="11">
      <c r="A11" s="12" t="inlineStr">
        <is>
          <t>(60, 80]</t>
        </is>
      </c>
      <c r="B11" s="12" t="n">
        <v>25</v>
      </c>
      <c r="C11" s="18" t="n"/>
      <c r="D11" s="18" t="n"/>
      <c r="E11" s="18" t="n"/>
      <c r="F11" s="18" t="n"/>
      <c r="G11" s="18" t="n"/>
      <c r="H11" s="18" t="n"/>
    </row>
    <row r="12">
      <c r="A12" s="12" t="inlineStr">
        <is>
          <t>(80, 120]</t>
        </is>
      </c>
      <c r="B12" s="12" t="n">
        <v>16</v>
      </c>
      <c r="C12" s="18" t="n"/>
      <c r="D12" s="18" t="n"/>
      <c r="E12" s="18" t="n"/>
      <c r="F12" s="18" t="n"/>
      <c r="G12" s="18" t="n"/>
      <c r="H12" s="18" t="n"/>
    </row>
    <row r="13"/>
    <row r="14">
      <c r="A14" s="13" t="inlineStr">
        <is>
          <t>Paso 2 · Medidas</t>
        </is>
      </c>
    </row>
    <row r="15">
      <c r="A15" s="19" t="inlineStr">
        <is>
          <t>n (total)</t>
        </is>
      </c>
      <c r="B15" s="20" t="n"/>
      <c r="C15" s="19">
        <f>IF(B15="","",IF(AND(ISNUMBER(B15),ABS(B15-Claves!$A$157)&lt;=0.51),"✔ Bien",IF(NOT(ISNUMBER(B15)),"✘ Escribe solo el número (sin texto ni %).","✘ Revisa el cálculo.")))</f>
        <v/>
      </c>
    </row>
    <row r="16">
      <c r="A16" s="19" t="inlineStr">
        <is>
          <t>Media</t>
        </is>
      </c>
      <c r="B16" s="20" t="n"/>
      <c r="C16" s="19">
        <f>IF(B16="","",IF(AND(ISNUMBER(B16),ABS(B16-Claves!$A$158)&lt;=0.05905940594059406),"✔ Bien",IF(NOT(ISNUMBER(B16)),"✘ Escribe solo el número (sin texto ni %).",IF(ABS(B16-56)&lt;=0.056,"✘ Has promediado las marcas sin multiplicar por las frecuencias.","✘ Revisa el cálculo."))))</f>
        <v/>
      </c>
    </row>
    <row r="17">
      <c r="A17" s="19" t="inlineStr">
        <is>
          <t>Varianza S²</t>
        </is>
      </c>
      <c r="B17" s="20" t="n"/>
      <c r="C17" s="19">
        <f>IF(B17="","",IF(AND(ISNUMBER(B17),ABS(B17-Claves!$A$159)&lt;=0.4874816194490736),"✔ Bien",IF(NOT(ISNUMBER(B17)),"✘ Escribe solo el número (sin texto ni %).",IF(ABS(B17-3975.4950495049507)&lt;=3.975495049504951,"✘ Te falta restar la media al cuadrado.",IF(ABS(B17-492.35643564356434)&lt;=0.49235643564356435,"✘ Esa es la cuasivarianza (divide entre n−1). Aquí se pide la varianza.","✘ Revisa el cálculo.")))))</f>
        <v/>
      </c>
    </row>
    <row r="18">
      <c r="A18" s="19" t="inlineStr">
        <is>
          <t>Desviación típica S</t>
        </is>
      </c>
      <c r="B18" s="20" t="n"/>
      <c r="C18" s="19">
        <f>IF(B18="","",IF(AND(ISNUMBER(B18),ABS(B18-Claves!$A$160)&lt;=0.022078985924382344),"✔ Bien",IF(NOT(ISNUMBER(B18)),"✘ Escribe solo el número (sin texto ni %).","✘ Revisa el cálculo.")))</f>
        <v/>
      </c>
    </row>
    <row r="19">
      <c r="A19" s="19" t="inlineStr">
        <is>
          <t>Coeficiente de variación (decimal)</t>
        </is>
      </c>
      <c r="B19" s="20" t="n"/>
      <c r="C19" s="19">
        <f>IF(B19="","",IF(AND(ISNUMBER(B19),OR(ABS(B19-Claves!$A$161)&lt;=0.00051,ABS(B19/100-Claves!$A$161)&lt;=0.00051)),"✔ Bien",IF(NOT(ISNUMBER(B19)),"✘ Escribe solo el número (sin texto ni %).","✘ Revisa el cálculo.")))</f>
        <v/>
      </c>
    </row>
    <row r="20">
      <c r="A20" s="19" t="inlineStr">
        <is>
          <t>Moda (fórmula de intervalos)</t>
        </is>
      </c>
      <c r="B20" s="20" t="n"/>
      <c r="C20" s="19">
        <f>IF(B20="","",IF(AND(ISNUMBER(B20),ABS(B20-Claves!$A$162)&lt;=0.048799999999999996),"✔ Bien",IF(NOT(ISNUMBER(B20)),"✘ Escribe solo el número (sin texto ni %).",IF(ABS(B20-52.82051282051282)&lt;=0.05282051282051282,"✘ Has usado las frecuencias. Con amplitudes distintas, el intervalo modal se elige por la DENSIDAD.","✘ Revisa el cálculo."))))</f>
        <v/>
      </c>
    </row>
    <row r="21">
      <c r="A21" s="19" t="inlineStr">
        <is>
          <t>Mediana</t>
        </is>
      </c>
      <c r="B21" s="20" t="n"/>
      <c r="C21" s="19">
        <f>IF(B21="","",IF(AND(ISNUMBER(B21),ABS(B21-Claves!$A$163)&lt;=0.05512820512820513),"✔ Bien",IF(NOT(ISNUMBER(B21)),"✘ Escribe solo el número (sin texto ni %).",IF(ABS(B21-50)&lt;=0.05,"✘ Eso es la marca del intervalo. Aplica la fórmula: Linf + (n/2 − Nᵢ₋₁)/nᵢ · aᵢ.","✘ Revisa el cálculo."))))</f>
        <v/>
      </c>
    </row>
    <row r="22" ht="30" customHeight="1">
      <c r="A22" s="19" t="inlineStr">
        <is>
          <t>¿A partir de qué valor se está en el 20 % con valores más altos?</t>
        </is>
      </c>
      <c r="B22" s="20" t="n"/>
      <c r="C22" s="19">
        <f>IF(B22="","",IF(AND(ISNUMBER(B22),ABS(B22-Claves!$A$164)&lt;=0.07664000000000001),"✔ Bien",IF(NOT(ISNUMBER(B22)),"✘ Escribe solo el número (sin texto ni %).",IF(ABS(B22-39.42857142857143)&lt;=0.03942857142857143,"✘ Ese es el percentil 20. ""El 20 % de arriba"" empieza en el percentil 80.","✘ Revisa el cálculo."))))</f>
        <v/>
      </c>
    </row>
  </sheetData>
  <mergeCells count="8">
    <mergeCell ref="C22:I22"/>
    <mergeCell ref="C18:I18"/>
    <mergeCell ref="C17:I17"/>
    <mergeCell ref="C21:I21"/>
    <mergeCell ref="C20:I20"/>
    <mergeCell ref="C16:I16"/>
    <mergeCell ref="C15:I15"/>
    <mergeCell ref="C19:I19"/>
  </mergeCells>
  <conditionalFormatting sqref="C8">
    <cfRule type="expression" priority="1" dxfId="0">
      <formula>AND(C8&lt;&gt;"",ISNUMBER(C8),ABS(C8-Claves!$A$127)&lt;=0.025)</formula>
    </cfRule>
    <cfRule type="expression" priority="2" dxfId="1">
      <formula>AND(C8&lt;&gt;"",OR(NOT(ISNUMBER(C8)),ABS(C8-Claves!$A$127)&gt;0.025))</formula>
    </cfRule>
  </conditionalFormatting>
  <conditionalFormatting sqref="D8">
    <cfRule type="expression" priority="3" dxfId="0">
      <formula>AND(D8&lt;&gt;"",ISNUMBER(D8),ABS(D8-Claves!$A$128)&lt;=0.01)</formula>
    </cfRule>
    <cfRule type="expression" priority="4" dxfId="1">
      <formula>AND(D8&lt;&gt;"",OR(NOT(ISNUMBER(D8)),ABS(D8-Claves!$A$128)&gt;0.01))</formula>
    </cfRule>
  </conditionalFormatting>
  <conditionalFormatting sqref="E8">
    <cfRule type="expression" priority="5" dxfId="0">
      <formula>AND(E8&lt;&gt;"",ISNUMBER(E8),ABS(E8-Claves!$A$129)&lt;=0.0007)</formula>
    </cfRule>
    <cfRule type="expression" priority="6" dxfId="1">
      <formula>AND(E8&lt;&gt;"",OR(NOT(ISNUMBER(E8)),ABS(E8-Claves!$A$129)&gt;0.0007))</formula>
    </cfRule>
  </conditionalFormatting>
  <conditionalFormatting sqref="F8">
    <cfRule type="expression" priority="7" dxfId="0">
      <formula>AND(F8&lt;&gt;"",ISNUMBER(F8),ABS(F8-Claves!$A$130)&lt;=0.17500000000000002)</formula>
    </cfRule>
    <cfRule type="expression" priority="8" dxfId="1">
      <formula>AND(F8&lt;&gt;"",OR(NOT(ISNUMBER(F8)),ABS(F8-Claves!$A$130)&gt;0.17500000000000002))</formula>
    </cfRule>
  </conditionalFormatting>
  <conditionalFormatting sqref="G8">
    <cfRule type="expression" priority="9" dxfId="0">
      <formula>AND(G8&lt;&gt;"",ISNUMBER(G8),ABS(G8-Claves!$A$131)&lt;=4.375)</formula>
    </cfRule>
    <cfRule type="expression" priority="10" dxfId="1">
      <formula>AND(G8&lt;&gt;"",OR(NOT(ISNUMBER(G8)),ABS(G8-Claves!$A$131)&gt;4.375))</formula>
    </cfRule>
  </conditionalFormatting>
  <conditionalFormatting sqref="H8">
    <cfRule type="expression" priority="11" dxfId="0">
      <formula>AND(H8&lt;&gt;"",ISNUMBER(H8),ABS(H8-Claves!$A$132)&lt;=0.51)</formula>
    </cfRule>
    <cfRule type="expression" priority="12" dxfId="1">
      <formula>AND(H8&lt;&gt;"",OR(NOT(ISNUMBER(H8)),ABS(H8-Claves!$A$132)&gt;0.51))</formula>
    </cfRule>
  </conditionalFormatting>
  <conditionalFormatting sqref="C9">
    <cfRule type="expression" priority="13" dxfId="0">
      <formula>AND(C9&lt;&gt;"",ISNUMBER(C9),ABS(C9-Claves!$A$133)&lt;=0.035)</formula>
    </cfRule>
    <cfRule type="expression" priority="14" dxfId="1">
      <formula>AND(C9&lt;&gt;"",OR(NOT(ISNUMBER(C9)),ABS(C9-Claves!$A$133)&gt;0.035))</formula>
    </cfRule>
  </conditionalFormatting>
  <conditionalFormatting sqref="D9">
    <cfRule type="expression" priority="15" dxfId="0">
      <formula>AND(D9&lt;&gt;"",ISNUMBER(D9),ABS(D9-Claves!$A$134)&lt;=0.01)</formula>
    </cfRule>
    <cfRule type="expression" priority="16" dxfId="1">
      <formula>AND(D9&lt;&gt;"",OR(NOT(ISNUMBER(D9)),ABS(D9-Claves!$A$134)&gt;0.01))</formula>
    </cfRule>
  </conditionalFormatting>
  <conditionalFormatting sqref="E9">
    <cfRule type="expression" priority="17" dxfId="0">
      <formula>AND(E9&lt;&gt;"",ISNUMBER(E9),ABS(E9-Claves!$A$135)&lt;=0.0014)</formula>
    </cfRule>
    <cfRule type="expression" priority="18" dxfId="1">
      <formula>AND(E9&lt;&gt;"",OR(NOT(ISNUMBER(E9)),ABS(E9-Claves!$A$135)&gt;0.0014))</formula>
    </cfRule>
  </conditionalFormatting>
  <conditionalFormatting sqref="F9">
    <cfRule type="expression" priority="19" dxfId="0">
      <formula>AND(F9&lt;&gt;"",ISNUMBER(F9),ABS(F9-Claves!$A$136)&lt;=0.49)</formula>
    </cfRule>
    <cfRule type="expression" priority="20" dxfId="1">
      <formula>AND(F9&lt;&gt;"",OR(NOT(ISNUMBER(F9)),ABS(F9-Claves!$A$136)&gt;0.49))</formula>
    </cfRule>
  </conditionalFormatting>
  <conditionalFormatting sqref="G9">
    <cfRule type="expression" priority="21" dxfId="0">
      <formula>AND(G9&lt;&gt;"",ISNUMBER(G9),ABS(G9-Claves!$A$137)&lt;=17.150000000000002)</formula>
    </cfRule>
    <cfRule type="expression" priority="22" dxfId="1">
      <formula>AND(G9&lt;&gt;"",OR(NOT(ISNUMBER(G9)),ABS(G9-Claves!$A$137)&gt;17.150000000000002))</formula>
    </cfRule>
  </conditionalFormatting>
  <conditionalFormatting sqref="H9">
    <cfRule type="expression" priority="23" dxfId="0">
      <formula>AND(H9&lt;&gt;"",ISNUMBER(H9),ABS(H9-Claves!$A$138)&lt;=0.51)</formula>
    </cfRule>
    <cfRule type="expression" priority="24" dxfId="1">
      <formula>AND(H9&lt;&gt;"",OR(NOT(ISNUMBER(H9)),ABS(H9-Claves!$A$138)&gt;0.51))</formula>
    </cfRule>
  </conditionalFormatting>
  <conditionalFormatting sqref="C10">
    <cfRule type="expression" priority="25" dxfId="0">
      <formula>AND(C10&lt;&gt;"",ISNUMBER(C10),ABS(C10-Claves!$A$139)&lt;=0.05)</formula>
    </cfRule>
    <cfRule type="expression" priority="26" dxfId="1">
      <formula>AND(C10&lt;&gt;"",OR(NOT(ISNUMBER(C10)),ABS(C10-Claves!$A$139)&gt;0.05))</formula>
    </cfRule>
  </conditionalFormatting>
  <conditionalFormatting sqref="D10">
    <cfRule type="expression" priority="27" dxfId="0">
      <formula>AND(D10&lt;&gt;"",ISNUMBER(D10),ABS(D10-Claves!$A$140)&lt;=0.02)</formula>
    </cfRule>
    <cfRule type="expression" priority="28" dxfId="1">
      <formula>AND(D10&lt;&gt;"",OR(NOT(ISNUMBER(D10)),ABS(D10-Claves!$A$140)&gt;0.02))</formula>
    </cfRule>
  </conditionalFormatting>
  <conditionalFormatting sqref="E10">
    <cfRule type="expression" priority="29" dxfId="0">
      <formula>AND(E10&lt;&gt;"",ISNUMBER(E10),ABS(E10-Claves!$A$141)&lt;=0.00195)</formula>
    </cfRule>
    <cfRule type="expression" priority="30" dxfId="1">
      <formula>AND(E10&lt;&gt;"",OR(NOT(ISNUMBER(E10)),ABS(E10-Claves!$A$141)&gt;0.00195))</formula>
    </cfRule>
  </conditionalFormatting>
  <conditionalFormatting sqref="F10">
    <cfRule type="expression" priority="31" dxfId="0">
      <formula>AND(F10&lt;&gt;"",ISNUMBER(F10),ABS(F10-Claves!$A$142)&lt;=1.95)</formula>
    </cfRule>
    <cfRule type="expression" priority="32" dxfId="1">
      <formula>AND(F10&lt;&gt;"",OR(NOT(ISNUMBER(F10)),ABS(F10-Claves!$A$142)&gt;1.95))</formula>
    </cfRule>
  </conditionalFormatting>
  <conditionalFormatting sqref="G10">
    <cfRule type="expression" priority="33" dxfId="0">
      <formula>AND(G10&lt;&gt;"",ISNUMBER(G10),ABS(G10-Claves!$A$143)&lt;=97.5)</formula>
    </cfRule>
    <cfRule type="expression" priority="34" dxfId="1">
      <formula>AND(G10&lt;&gt;"",OR(NOT(ISNUMBER(G10)),ABS(G10-Claves!$A$143)&gt;97.5))</formula>
    </cfRule>
  </conditionalFormatting>
  <conditionalFormatting sqref="H10">
    <cfRule type="expression" priority="35" dxfId="0">
      <formula>AND(H10&lt;&gt;"",ISNUMBER(H10),ABS(H10-Claves!$A$144)&lt;=0.51)</formula>
    </cfRule>
    <cfRule type="expression" priority="36" dxfId="1">
      <formula>AND(H10&lt;&gt;"",OR(NOT(ISNUMBER(H10)),ABS(H10-Claves!$A$144)&gt;0.51))</formula>
    </cfRule>
  </conditionalFormatting>
  <conditionalFormatting sqref="C11">
    <cfRule type="expression" priority="37" dxfId="0">
      <formula>AND(C11&lt;&gt;"",ISNUMBER(C11),ABS(C11-Claves!$A$145)&lt;=0.07)</formula>
    </cfRule>
    <cfRule type="expression" priority="38" dxfId="1">
      <formula>AND(C11&lt;&gt;"",OR(NOT(ISNUMBER(C11)),ABS(C11-Claves!$A$145)&gt;0.07))</formula>
    </cfRule>
  </conditionalFormatting>
  <conditionalFormatting sqref="D11">
    <cfRule type="expression" priority="39" dxfId="0">
      <formula>AND(D11&lt;&gt;"",ISNUMBER(D11),ABS(D11-Claves!$A$146)&lt;=0.02)</formula>
    </cfRule>
    <cfRule type="expression" priority="40" dxfId="1">
      <formula>AND(D11&lt;&gt;"",OR(NOT(ISNUMBER(D11)),ABS(D11-Claves!$A$146)&gt;0.02))</formula>
    </cfRule>
  </conditionalFormatting>
  <conditionalFormatting sqref="E11">
    <cfRule type="expression" priority="41" dxfId="0">
      <formula>AND(E11&lt;&gt;"",ISNUMBER(E11),ABS(E11-Claves!$A$147)&lt;=0.00125)</formula>
    </cfRule>
    <cfRule type="expression" priority="42" dxfId="1">
      <formula>AND(E11&lt;&gt;"",OR(NOT(ISNUMBER(E11)),ABS(E11-Claves!$A$147)&gt;0.00125))</formula>
    </cfRule>
  </conditionalFormatting>
  <conditionalFormatting sqref="F11">
    <cfRule type="expression" priority="43" dxfId="0">
      <formula>AND(F11&lt;&gt;"",ISNUMBER(F11),ABS(F11-Claves!$A$148)&lt;=1.75)</formula>
    </cfRule>
    <cfRule type="expression" priority="44" dxfId="1">
      <formula>AND(F11&lt;&gt;"",OR(NOT(ISNUMBER(F11)),ABS(F11-Claves!$A$148)&gt;1.75))</formula>
    </cfRule>
  </conditionalFormatting>
  <conditionalFormatting sqref="G11">
    <cfRule type="expression" priority="45" dxfId="0">
      <formula>AND(G11&lt;&gt;"",ISNUMBER(G11),ABS(G11-Claves!$A$149)&lt;=122.5)</formula>
    </cfRule>
    <cfRule type="expression" priority="46" dxfId="1">
      <formula>AND(G11&lt;&gt;"",OR(NOT(ISNUMBER(G11)),ABS(G11-Claves!$A$149)&gt;122.5))</formula>
    </cfRule>
  </conditionalFormatting>
  <conditionalFormatting sqref="H11">
    <cfRule type="expression" priority="47" dxfId="0">
      <formula>AND(H11&lt;&gt;"",ISNUMBER(H11),ABS(H11-Claves!$A$150)&lt;=0.51)</formula>
    </cfRule>
    <cfRule type="expression" priority="48" dxfId="1">
      <formula>AND(H11&lt;&gt;"",OR(NOT(ISNUMBER(H11)),ABS(H11-Claves!$A$150)&gt;0.51))</formula>
    </cfRule>
  </conditionalFormatting>
  <conditionalFormatting sqref="C12">
    <cfRule type="expression" priority="49" dxfId="0">
      <formula>AND(C12&lt;&gt;"",ISNUMBER(C12),ABS(C12-Claves!$A$151)&lt;=0.1)</formula>
    </cfRule>
    <cfRule type="expression" priority="50" dxfId="1">
      <formula>AND(C12&lt;&gt;"",OR(NOT(ISNUMBER(C12)),ABS(C12-Claves!$A$151)&gt;0.1))</formula>
    </cfRule>
  </conditionalFormatting>
  <conditionalFormatting sqref="D12">
    <cfRule type="expression" priority="51" dxfId="0">
      <formula>AND(D12&lt;&gt;"",ISNUMBER(D12),ABS(D12-Claves!$A$152)&lt;=0.04)</formula>
    </cfRule>
    <cfRule type="expression" priority="52" dxfId="1">
      <formula>AND(D12&lt;&gt;"",OR(NOT(ISNUMBER(D12)),ABS(D12-Claves!$A$152)&gt;0.04))</formula>
    </cfRule>
  </conditionalFormatting>
  <conditionalFormatting sqref="E12">
    <cfRule type="expression" priority="53" dxfId="0">
      <formula>AND(E12&lt;&gt;"",ISNUMBER(E12),ABS(E12-Claves!$A$153)&lt;=0.00051)</formula>
    </cfRule>
    <cfRule type="expression" priority="54" dxfId="1">
      <formula>AND(E12&lt;&gt;"",OR(NOT(ISNUMBER(E12)),ABS(E12-Claves!$A$153)&gt;0.00051))</formula>
    </cfRule>
  </conditionalFormatting>
  <conditionalFormatting sqref="F12">
    <cfRule type="expression" priority="55" dxfId="0">
      <formula>AND(F12&lt;&gt;"",ISNUMBER(F12),ABS(F12-Claves!$A$154)&lt;=1.6)</formula>
    </cfRule>
    <cfRule type="expression" priority="56" dxfId="1">
      <formula>AND(F12&lt;&gt;"",OR(NOT(ISNUMBER(F12)),ABS(F12-Claves!$A$154)&gt;1.6))</formula>
    </cfRule>
  </conditionalFormatting>
  <conditionalFormatting sqref="G12">
    <cfRule type="expression" priority="57" dxfId="0">
      <formula>AND(G12&lt;&gt;"",ISNUMBER(G12),ABS(G12-Claves!$A$155)&lt;=160)</formula>
    </cfRule>
    <cfRule type="expression" priority="58" dxfId="1">
      <formula>AND(G12&lt;&gt;"",OR(NOT(ISNUMBER(G12)),ABS(G12-Claves!$A$155)&gt;160))</formula>
    </cfRule>
  </conditionalFormatting>
  <conditionalFormatting sqref="H12">
    <cfRule type="expression" priority="59" dxfId="0">
      <formula>AND(H12&lt;&gt;"",ISNUMBER(H12),ABS(H12-Claves!$A$156)&lt;=0.51)</formula>
    </cfRule>
    <cfRule type="expression" priority="60" dxfId="1">
      <formula>AND(H12&lt;&gt;"",OR(NOT(ISNUMBER(H12)),ABS(H12-Claves!$A$156)&gt;0.51))</formula>
    </cfRule>
  </conditionalFormatting>
  <conditionalFormatting sqref="B15">
    <cfRule type="expression" priority="61" dxfId="0">
      <formula>LEFT($C15,1)="✔"</formula>
    </cfRule>
    <cfRule type="expression" priority="62" dxfId="1">
      <formula>LEFT($C15,1)="✘"</formula>
    </cfRule>
  </conditionalFormatting>
  <conditionalFormatting sqref="C15:I15">
    <cfRule type="expression" priority="63" dxfId="2">
      <formula>LEFT($C15,1)="✔"</formula>
    </cfRule>
    <cfRule type="expression" priority="64" dxfId="3">
      <formula>LEFT($C15,1)="✘"</formula>
    </cfRule>
  </conditionalFormatting>
  <conditionalFormatting sqref="B16">
    <cfRule type="expression" priority="65" dxfId="0">
      <formula>LEFT($C16,1)="✔"</formula>
    </cfRule>
    <cfRule type="expression" priority="66" dxfId="1">
      <formula>LEFT($C16,1)="✘"</formula>
    </cfRule>
  </conditionalFormatting>
  <conditionalFormatting sqref="C16:I16">
    <cfRule type="expression" priority="67" dxfId="2">
      <formula>LEFT($C16,1)="✔"</formula>
    </cfRule>
    <cfRule type="expression" priority="68" dxfId="3">
      <formula>LEFT($C16,1)="✘"</formula>
    </cfRule>
  </conditionalFormatting>
  <conditionalFormatting sqref="B17">
    <cfRule type="expression" priority="69" dxfId="0">
      <formula>LEFT($C17,1)="✔"</formula>
    </cfRule>
    <cfRule type="expression" priority="70" dxfId="1">
      <formula>LEFT($C17,1)="✘"</formula>
    </cfRule>
  </conditionalFormatting>
  <conditionalFormatting sqref="C17:I17">
    <cfRule type="expression" priority="71" dxfId="2">
      <formula>LEFT($C17,1)="✔"</formula>
    </cfRule>
    <cfRule type="expression" priority="72" dxfId="3">
      <formula>LEFT($C17,1)="✘"</formula>
    </cfRule>
  </conditionalFormatting>
  <conditionalFormatting sqref="B18">
    <cfRule type="expression" priority="73" dxfId="0">
      <formula>LEFT($C18,1)="✔"</formula>
    </cfRule>
    <cfRule type="expression" priority="74" dxfId="1">
      <formula>LEFT($C18,1)="✘"</formula>
    </cfRule>
  </conditionalFormatting>
  <conditionalFormatting sqref="C18:I18">
    <cfRule type="expression" priority="75" dxfId="2">
      <formula>LEFT($C18,1)="✔"</formula>
    </cfRule>
    <cfRule type="expression" priority="76" dxfId="3">
      <formula>LEFT($C18,1)="✘"</formula>
    </cfRule>
  </conditionalFormatting>
  <conditionalFormatting sqref="B19">
    <cfRule type="expression" priority="77" dxfId="0">
      <formula>LEFT($C19,1)="✔"</formula>
    </cfRule>
    <cfRule type="expression" priority="78" dxfId="1">
      <formula>LEFT($C19,1)="✘"</formula>
    </cfRule>
  </conditionalFormatting>
  <conditionalFormatting sqref="C19:I19">
    <cfRule type="expression" priority="79" dxfId="2">
      <formula>LEFT($C19,1)="✔"</formula>
    </cfRule>
    <cfRule type="expression" priority="80" dxfId="3">
      <formula>LEFT($C19,1)="✘"</formula>
    </cfRule>
  </conditionalFormatting>
  <conditionalFormatting sqref="B20">
    <cfRule type="expression" priority="81" dxfId="0">
      <formula>LEFT($C20,1)="✔"</formula>
    </cfRule>
    <cfRule type="expression" priority="82" dxfId="1">
      <formula>LEFT($C20,1)="✘"</formula>
    </cfRule>
  </conditionalFormatting>
  <conditionalFormatting sqref="C20:I20">
    <cfRule type="expression" priority="83" dxfId="2">
      <formula>LEFT($C20,1)="✔"</formula>
    </cfRule>
    <cfRule type="expression" priority="84" dxfId="3">
      <formula>LEFT($C20,1)="✘"</formula>
    </cfRule>
  </conditionalFormatting>
  <conditionalFormatting sqref="B21">
    <cfRule type="expression" priority="85" dxfId="0">
      <formula>LEFT($C21,1)="✔"</formula>
    </cfRule>
    <cfRule type="expression" priority="86" dxfId="1">
      <formula>LEFT($C21,1)="✘"</formula>
    </cfRule>
  </conditionalFormatting>
  <conditionalFormatting sqref="C21:I21">
    <cfRule type="expression" priority="87" dxfId="2">
      <formula>LEFT($C21,1)="✔"</formula>
    </cfRule>
    <cfRule type="expression" priority="88" dxfId="3">
      <formula>LEFT($C21,1)="✘"</formula>
    </cfRule>
  </conditionalFormatting>
  <conditionalFormatting sqref="B22">
    <cfRule type="expression" priority="89" dxfId="0">
      <formula>LEFT($C22,1)="✔"</formula>
    </cfRule>
    <cfRule type="expression" priority="90" dxfId="1">
      <formula>LEFT($C22,1)="✘"</formula>
    </cfRule>
  </conditionalFormatting>
  <conditionalFormatting sqref="C22:I22">
    <cfRule type="expression" priority="91" dxfId="2">
      <formula>LEFT($C22,1)="✔"</formula>
    </cfRule>
    <cfRule type="expression" priority="92" dxfId="3">
      <formula>LEFT($C22,1)="✘"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FD0"/>
    <outlinePr summaryBelow="1" summaryRight="1"/>
    <pageSetUpPr/>
  </sheetPr>
  <dimension ref="A1:I21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Datos en intervalos (amplitudes distintas) · Nivel 3 · Sin ayuda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SUMPRODUCT(--(LEFT($C$1:$C$27,1)="✔"))</f>
        <v/>
      </c>
      <c r="G2" s="8" t="inlineStr">
        <is>
          <t>de 8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Antigüedad (años) del personal de un hospital.</t>
        </is>
      </c>
    </row>
    <row r="6">
      <c r="A6" s="15" t="inlineStr">
        <is>
          <t>Intervalo</t>
        </is>
      </c>
      <c r="B6" s="15" t="inlineStr">
        <is>
          <t>nᵢ</t>
        </is>
      </c>
    </row>
    <row r="7">
      <c r="A7" s="21" t="inlineStr">
        <is>
          <t>[0, 5]</t>
        </is>
      </c>
      <c r="B7" s="12" t="n">
        <v>10</v>
      </c>
    </row>
    <row r="8">
      <c r="A8" s="21" t="inlineStr">
        <is>
          <t>(5, 10]</t>
        </is>
      </c>
      <c r="B8" s="12" t="n">
        <v>19</v>
      </c>
    </row>
    <row r="9">
      <c r="A9" s="21" t="inlineStr">
        <is>
          <t>(10, 20]</t>
        </is>
      </c>
      <c r="B9" s="12" t="n">
        <v>31</v>
      </c>
    </row>
    <row r="10">
      <c r="A10" s="21" t="inlineStr">
        <is>
          <t>(20, 30]</t>
        </is>
      </c>
      <c r="B10" s="12" t="n">
        <v>23</v>
      </c>
    </row>
    <row r="11">
      <c r="A11" s="21" t="inlineStr">
        <is>
          <t>(30, 50]</t>
        </is>
      </c>
      <c r="B11" s="12" t="n">
        <v>6</v>
      </c>
    </row>
    <row r="12"/>
    <row r="13">
      <c r="A13" s="13" t="inlineStr">
        <is>
          <t>Preguntas</t>
        </is>
      </c>
    </row>
    <row r="14">
      <c r="A14" s="19" t="inlineStr">
        <is>
          <t>n (total)</t>
        </is>
      </c>
      <c r="B14" s="20" t="n"/>
      <c r="C14" s="19">
        <f>IF(B14="","",IF(AND(ISNUMBER(B14),ABS(B14-Claves!$A$165)&lt;=0.51),"✔ Bien",IF(NOT(ISNUMBER(B14)),"✘ Escribe solo el número (sin texto ni %).","✘ Revisa el cálculo.")))</f>
        <v/>
      </c>
    </row>
    <row r="15">
      <c r="A15" s="19" t="inlineStr">
        <is>
          <t>Media</t>
        </is>
      </c>
      <c r="B15" s="20" t="n"/>
      <c r="C15" s="19">
        <f>IF(B15="","",IF(AND(ISNUMBER(B15),ABS(B15-Claves!$A$166)&lt;=0.016264044943820225),"✔ Bien",IF(NOT(ISNUMBER(B15)),"✘ Escribe solo el número (sin texto ni %).",IF(ABS(B15-18)&lt;=0.018000000000000002,"✘ Has promediado las marcas sin multiplicar por las frecuencias.","✘ Revisa el cálculo."))))</f>
        <v/>
      </c>
    </row>
    <row r="16">
      <c r="A16" s="19" t="inlineStr">
        <is>
          <t>Varianza S²</t>
        </is>
      </c>
      <c r="B16" s="20" t="n"/>
      <c r="C16" s="19">
        <f>IF(B16="","",IF(AND(ISNUMBER(B16),ABS(B16-Claves!$A$167)&lt;=0.09594432521146319),"✔ Bien",IF(NOT(ISNUMBER(B16)),"✘ Escribe solo el número (sin texto ni %).",IF(ABS(B16-360.4634831460674)&lt;=0.3604634831460674,"✘ Te falta restar la media al cuadrado.",IF(ABS(B16-97.03460163432074)&lt;=0.09703460163432073,"✘ Esa es la cuasivarianza (divide entre n−1). Aquí se pide la varianza.","✘ Revisa el cálculo.")))))</f>
        <v/>
      </c>
    </row>
    <row r="17">
      <c r="A17" s="19" t="inlineStr">
        <is>
          <t>Desviación típica S</t>
        </is>
      </c>
      <c r="B17" s="20" t="n"/>
      <c r="C17" s="19">
        <f>IF(B17="","",IF(AND(ISNUMBER(B17),ABS(B17-Claves!$A$168)&lt;=0.009795117416930907),"✔ Bien",IF(NOT(ISNUMBER(B17)),"✘ Escribe solo el número (sin texto ni %).","✘ Revisa el cálculo.")))</f>
        <v/>
      </c>
    </row>
    <row r="18">
      <c r="A18" s="19" t="inlineStr">
        <is>
          <t>Coeficiente de variación (decimal)</t>
        </is>
      </c>
      <c r="B18" s="20" t="n"/>
      <c r="C18" s="19">
        <f>IF(B18="","",IF(AND(ISNUMBER(B18),OR(ABS(B18-Claves!$A$169)&lt;=0.0006022559240807259,ABS(B18/100-Claves!$A$169)&lt;=0.0006022559240807259)),"✔ Bien",IF(NOT(ISNUMBER(B18)),"✘ Escribe solo el número (sin texto ni %).","✘ Revisa el cálculo.")))</f>
        <v/>
      </c>
    </row>
    <row r="19">
      <c r="A19" s="19" t="inlineStr">
        <is>
          <t>Moda (fórmula de intervalos)</t>
        </is>
      </c>
      <c r="B19" s="20" t="n"/>
      <c r="C19" s="19">
        <f>IF(B19="","",IF(AND(ISNUMBER(B19),ABS(B19-Claves!$A$170)&lt;=0.008600000000000002),"✔ Bien",IF(NOT(ISNUMBER(B19)),"✘ Escribe solo el número (sin texto ni %).",IF(ABS(B19-16)&lt;=0.016,"✘ Has usado las frecuencias. Con amplitudes distintas, el intervalo modal se elige por la DENSIDAD.","✘ Revisa el cálculo."))))</f>
        <v/>
      </c>
    </row>
    <row r="20">
      <c r="A20" s="19" t="inlineStr">
        <is>
          <t>Mediana</t>
        </is>
      </c>
      <c r="B20" s="20" t="n"/>
      <c r="C20" s="19">
        <f>IF(B20="","",IF(AND(ISNUMBER(B20),ABS(B20-Claves!$A$171)&lt;=0.015),"✔ Bien",IF(NOT(ISNUMBER(B20)),"✘ Escribe solo el número (sin texto ni %).","✘ Revisa el cálculo.")))</f>
        <v/>
      </c>
    </row>
    <row r="21" ht="30" customHeight="1">
      <c r="A21" s="19" t="inlineStr">
        <is>
          <t>¿A partir de qué valor se está en el 20 % con valores más altos?</t>
        </is>
      </c>
      <c r="B21" s="20" t="n"/>
      <c r="C21" s="19">
        <f>IF(B21="","",IF(AND(ISNUMBER(B21),ABS(B21-Claves!$A$172)&lt;=0.024869565217391306),"✔ Bien",IF(NOT(ISNUMBER(B21)),"✘ Escribe solo el número (sin texto ni %).",IF(ABS(B21-7.052631578947368)&lt;=0.0070526315789473685,"✘ Ese es el percentil 20. ""El 20 % de arriba"" empieza en el percentil 80.","✘ Revisa el cálculo."))))</f>
        <v/>
      </c>
    </row>
  </sheetData>
  <mergeCells count="8">
    <mergeCell ref="C14:I14"/>
    <mergeCell ref="C18:I18"/>
    <mergeCell ref="C17:I17"/>
    <mergeCell ref="C21:I21"/>
    <mergeCell ref="C20:I20"/>
    <mergeCell ref="C16:I16"/>
    <mergeCell ref="C15:I15"/>
    <mergeCell ref="C19:I19"/>
  </mergeCells>
  <conditionalFormatting sqref="B14">
    <cfRule type="expression" priority="1" dxfId="0">
      <formula>LEFT($C14,1)="✔"</formula>
    </cfRule>
    <cfRule type="expression" priority="2" dxfId="1">
      <formula>LEFT($C14,1)="✘"</formula>
    </cfRule>
  </conditionalFormatting>
  <conditionalFormatting sqref="C14:I14">
    <cfRule type="expression" priority="3" dxfId="2">
      <formula>LEFT($C14,1)="✔"</formula>
    </cfRule>
    <cfRule type="expression" priority="4" dxfId="3">
      <formula>LEFT($C14,1)="✘"</formula>
    </cfRule>
  </conditionalFormatting>
  <conditionalFormatting sqref="B15">
    <cfRule type="expression" priority="5" dxfId="0">
      <formula>LEFT($C15,1)="✔"</formula>
    </cfRule>
    <cfRule type="expression" priority="6" dxfId="1">
      <formula>LEFT($C15,1)="✘"</formula>
    </cfRule>
  </conditionalFormatting>
  <conditionalFormatting sqref="C15:I15">
    <cfRule type="expression" priority="7" dxfId="2">
      <formula>LEFT($C15,1)="✔"</formula>
    </cfRule>
    <cfRule type="expression" priority="8" dxfId="3">
      <formula>LEFT($C15,1)="✘"</formula>
    </cfRule>
  </conditionalFormatting>
  <conditionalFormatting sqref="B16">
    <cfRule type="expression" priority="9" dxfId="0">
      <formula>LEFT($C16,1)="✔"</formula>
    </cfRule>
    <cfRule type="expression" priority="10" dxfId="1">
      <formula>LEFT($C16,1)="✘"</formula>
    </cfRule>
  </conditionalFormatting>
  <conditionalFormatting sqref="C16:I16">
    <cfRule type="expression" priority="11" dxfId="2">
      <formula>LEFT($C16,1)="✔"</formula>
    </cfRule>
    <cfRule type="expression" priority="12" dxfId="3">
      <formula>LEFT($C16,1)="✘"</formula>
    </cfRule>
  </conditionalFormatting>
  <conditionalFormatting sqref="B17">
    <cfRule type="expression" priority="13" dxfId="0">
      <formula>LEFT($C17,1)="✔"</formula>
    </cfRule>
    <cfRule type="expression" priority="14" dxfId="1">
      <formula>LEFT($C17,1)="✘"</formula>
    </cfRule>
  </conditionalFormatting>
  <conditionalFormatting sqref="C17:I17">
    <cfRule type="expression" priority="15" dxfId="2">
      <formula>LEFT($C17,1)="✔"</formula>
    </cfRule>
    <cfRule type="expression" priority="16" dxfId="3">
      <formula>LEFT($C17,1)="✘"</formula>
    </cfRule>
  </conditionalFormatting>
  <conditionalFormatting sqref="B18">
    <cfRule type="expression" priority="17" dxfId="0">
      <formula>LEFT($C18,1)="✔"</formula>
    </cfRule>
    <cfRule type="expression" priority="18" dxfId="1">
      <formula>LEFT($C18,1)="✘"</formula>
    </cfRule>
  </conditionalFormatting>
  <conditionalFormatting sqref="C18:I18">
    <cfRule type="expression" priority="19" dxfId="2">
      <formula>LEFT($C18,1)="✔"</formula>
    </cfRule>
    <cfRule type="expression" priority="20" dxfId="3">
      <formula>LEFT($C18,1)="✘"</formula>
    </cfRule>
  </conditionalFormatting>
  <conditionalFormatting sqref="B19">
    <cfRule type="expression" priority="21" dxfId="0">
      <formula>LEFT($C19,1)="✔"</formula>
    </cfRule>
    <cfRule type="expression" priority="22" dxfId="1">
      <formula>LEFT($C19,1)="✘"</formula>
    </cfRule>
  </conditionalFormatting>
  <conditionalFormatting sqref="C19:I19">
    <cfRule type="expression" priority="23" dxfId="2">
      <formula>LEFT($C19,1)="✔"</formula>
    </cfRule>
    <cfRule type="expression" priority="24" dxfId="3">
      <formula>LEFT($C19,1)="✘"</formula>
    </cfRule>
  </conditionalFormatting>
  <conditionalFormatting sqref="B20">
    <cfRule type="expression" priority="25" dxfId="0">
      <formula>LEFT($C20,1)="✔"</formula>
    </cfRule>
    <cfRule type="expression" priority="26" dxfId="1">
      <formula>LEFT($C20,1)="✘"</formula>
    </cfRule>
  </conditionalFormatting>
  <conditionalFormatting sqref="C20:I20">
    <cfRule type="expression" priority="27" dxfId="2">
      <formula>LEFT($C20,1)="✔"</formula>
    </cfRule>
    <cfRule type="expression" priority="28" dxfId="3">
      <formula>LEFT($C20,1)="✘"</formula>
    </cfRule>
  </conditionalFormatting>
  <conditionalFormatting sqref="B21">
    <cfRule type="expression" priority="29" dxfId="0">
      <formula>LEFT($C21,1)="✔"</formula>
    </cfRule>
    <cfRule type="expression" priority="30" dxfId="1">
      <formula>LEFT($C21,1)="✘"</formula>
    </cfRule>
  </conditionalFormatting>
  <conditionalFormatting sqref="C21:I21">
    <cfRule type="expression" priority="31" dxfId="2">
      <formula>LEFT($C21,1)="✔"</formula>
    </cfRule>
    <cfRule type="expression" priority="32" dxfId="3">
      <formula>LEFT($C21,1)="✘"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D0"/>
    <outlinePr summaryBelow="1" summaryRight="1"/>
    <pageSetUpPr/>
  </sheetPr>
  <dimension ref="A1:I30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Varianza dentro y entre grupos + cambios de escala · Nivel 1 · Con guía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SUMPRODUCT(--(LEFT($C$1:$C$36,1)="✔"))</f>
        <v/>
      </c>
      <c r="G2" s="8" t="inlineStr">
        <is>
          <t>de 9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Salario medio por grupo (€). Te dan el tamaño, la media y la DESVIACIÓN TÍPICA de cada grupo.</t>
        </is>
      </c>
    </row>
    <row r="6">
      <c r="A6" s="15" t="inlineStr">
        <is>
          <t>Grupo</t>
        </is>
      </c>
      <c r="B6" s="15" t="inlineStr">
        <is>
          <t>Tamaño T</t>
        </is>
      </c>
      <c r="C6" s="15" t="inlineStr">
        <is>
          <t>Media</t>
        </is>
      </c>
      <c r="D6" s="15" t="inlineStr">
        <is>
          <t>Desv. típica</t>
        </is>
      </c>
    </row>
    <row r="7">
      <c r="A7" s="21" t="inlineStr">
        <is>
          <t>Administración</t>
        </is>
      </c>
      <c r="B7" s="12" t="n">
        <v>40</v>
      </c>
      <c r="C7" s="12" t="n">
        <v>1650</v>
      </c>
      <c r="D7" s="12" t="n">
        <v>210</v>
      </c>
    </row>
    <row r="8">
      <c r="A8" s="21" t="inlineStr">
        <is>
          <t>Producción</t>
        </is>
      </c>
      <c r="B8" s="12" t="n">
        <v>90</v>
      </c>
      <c r="C8" s="12" t="n">
        <v>1480</v>
      </c>
      <c r="D8" s="12" t="n">
        <v>160</v>
      </c>
    </row>
    <row r="9">
      <c r="A9" s="21" t="inlineStr">
        <is>
          <t>Ventas</t>
        </is>
      </c>
      <c r="B9" s="12" t="n">
        <v>30</v>
      </c>
      <c r="C9" s="12" t="n">
        <v>1920</v>
      </c>
      <c r="D9" s="12" t="n">
        <v>380</v>
      </c>
    </row>
    <row r="10"/>
    <row r="11">
      <c r="A11" s="13" t="inlineStr">
        <is>
          <t>Paso 1 · Tabla de trabajo</t>
        </is>
      </c>
    </row>
    <row r="12">
      <c r="A12" s="14" t="inlineStr">
        <is>
          <t>💡 Varianza = desviación típica al cuadrado. Para la "entre" necesitas antes la media global (pregunta 1).</t>
        </is>
      </c>
    </row>
    <row r="13">
      <c r="A13" s="15" t="inlineStr">
        <is>
          <t>Grupo</t>
        </is>
      </c>
      <c r="B13" s="15" t="inlineStr">
        <is>
          <t>Varianza</t>
        </is>
      </c>
      <c r="C13" s="15" t="inlineStr">
        <is>
          <t>Varianza·T</t>
        </is>
      </c>
      <c r="D13" s="15" t="inlineStr">
        <is>
          <t>CV</t>
        </is>
      </c>
      <c r="E13" s="15" t="inlineStr">
        <is>
          <t>(media−global)²·T</t>
        </is>
      </c>
    </row>
    <row r="14" ht="30" customHeight="1">
      <c r="A14" s="16" t="inlineStr">
        <is>
          <t>Pista →</t>
        </is>
      </c>
      <c r="B14" s="17" t="inlineStr">
        <is>
          <t>ej. =Desv^2</t>
        </is>
      </c>
      <c r="C14" s="17" t="inlineStr">
        <is>
          <t>ej. =Varianza*T</t>
        </is>
      </c>
      <c r="D14" s="17" t="inlineStr">
        <is>
          <t>ej. =Desv/Media</t>
        </is>
      </c>
      <c r="E14" s="17" t="inlineStr">
        <is>
          <t>ej. =(Media−global)^2*T</t>
        </is>
      </c>
    </row>
    <row r="15">
      <c r="A15" s="12" t="inlineStr">
        <is>
          <t>Administración</t>
        </is>
      </c>
      <c r="B15" s="18" t="n"/>
      <c r="C15" s="18" t="n"/>
      <c r="D15" s="18" t="n"/>
      <c r="E15" s="18" t="n"/>
    </row>
    <row r="16">
      <c r="A16" s="12" t="inlineStr">
        <is>
          <t>Producción</t>
        </is>
      </c>
      <c r="B16" s="18" t="n"/>
      <c r="C16" s="18" t="n"/>
      <c r="D16" s="18" t="n"/>
      <c r="E16" s="18" t="n"/>
    </row>
    <row r="17">
      <c r="A17" s="12" t="inlineStr">
        <is>
          <t>Ventas</t>
        </is>
      </c>
      <c r="B17" s="18" t="n"/>
      <c r="C17" s="18" t="n"/>
      <c r="D17" s="18" t="n"/>
      <c r="E17" s="18" t="n"/>
    </row>
    <row r="18"/>
    <row r="19">
      <c r="A19" s="13" t="inlineStr">
        <is>
          <t>Preguntas</t>
        </is>
      </c>
    </row>
    <row r="20">
      <c r="A20" s="19" t="inlineStr">
        <is>
          <t>¿Qué grupo es más homogéneo? (escribe el nombre)</t>
        </is>
      </c>
      <c r="B20" s="20" t="n"/>
      <c r="C20" s="19">
        <f>IF(B20="","",IF(OR(UPPER(TRIM(B20))="PRODUCCIÓN"),"✔ Bien","✘ Revisa la respuesta."))</f>
        <v/>
      </c>
    </row>
    <row r="21">
      <c r="A21" s="19" t="inlineStr">
        <is>
          <t>Media global</t>
        </is>
      </c>
      <c r="B21" s="20" t="n"/>
      <c r="C21" s="19">
        <f>IF(B21="","",IF(AND(ISNUMBER(B21),ABS(B21-Claves!$A$186)&lt;=1.605),"✔ Bien",IF(NOT(ISNUMBER(B21)),"✘ Escribe solo el número (sin texto ni %).",IF(ABS(B21-1683.3333333333333)&lt;=1.6833333333333333,"✘ Has hecho la media de las medias sin ponderar por el tamaño de cada grupo.","✘ Revisa el cálculo."))))</f>
        <v/>
      </c>
    </row>
    <row r="22">
      <c r="A22" s="19" t="inlineStr">
        <is>
          <t>Varianza dentro de los grupos</t>
        </is>
      </c>
      <c r="B22" s="20" t="n"/>
      <c r="C22" s="19">
        <f>IF(B22="","",IF(AND(ISNUMBER(B22),ABS(B22-Claves!$A$187)&lt;=52.5),"✔ Bien",IF(NOT(ISNUMBER(B22)),"✘ Escribe solo el número (sin texto ni %).",IF(ABS(B22-213.75)&lt;=0.21375,"✘ Has usado las desviaciones típicas. Hay que elevarlas al cuadrado (varianzas).","✘ Revisa el cálculo."))))</f>
        <v/>
      </c>
    </row>
    <row r="23">
      <c r="A23" s="19" t="inlineStr">
        <is>
          <t>Varianza entre los grupos</t>
        </is>
      </c>
      <c r="B23" s="20" t="n"/>
      <c r="C23" s="19">
        <f>IF(B23="","",IF(AND(ISNUMBER(B23),ABS(B23-Claves!$A$188)&lt;=27.900000000000002),"✔ Bien",IF(NOT(ISNUMBER(B23)),"✘ Escribe solo el número (sin texto ni %).","✘ Revisa el cálculo.")))</f>
        <v/>
      </c>
    </row>
    <row r="24">
      <c r="A24" s="19" t="inlineStr">
        <is>
          <t>Varianza total</t>
        </is>
      </c>
      <c r="B24" s="20" t="n"/>
      <c r="C24" s="19">
        <f>IF(B24="","",IF(AND(ISNUMBER(B24),ABS(B24-Claves!$A$189)&lt;=80.4),"✔ Bien",IF(NOT(ISNUMBER(B24)),"✘ Escribe solo el número (sin texto ni %).","✘ Revisa el cálculo.")))</f>
        <v/>
      </c>
    </row>
    <row r="25">
      <c r="A25" s="19" t="inlineStr">
        <is>
          <t>Desviación típica total</t>
        </is>
      </c>
      <c r="B25" s="20" t="n"/>
      <c r="C25" s="19">
        <f>IF(B25="","",IF(AND(ISNUMBER(B25),ABS(B25-Claves!$A$190)&lt;=0.28354893757515653),"✔ Bien",IF(NOT(ISNUMBER(B25)),"✘ Escribe solo el número (sin texto ni %).",IF(ABS(B25-80400)&lt;=80.4,"✘ Eso es la varianza. Haz la raíz cuadrada.","✘ Revisa el cálculo."))))</f>
        <v/>
      </c>
    </row>
    <row r="26" ht="30" customHeight="1">
      <c r="A26" s="19" t="inlineStr">
        <is>
          <t>% de la variabilidad debido a las diferencias entre grupos</t>
        </is>
      </c>
      <c r="B26" s="20" t="n"/>
      <c r="C26" s="19">
        <f>IF(B26="","",IF(AND(ISNUMBER(B26),OR(ABS(B26-Claves!$A$191)&lt;=0.00051,ABS(B26/100-Claves!$A$191)&lt;=0.00051)),"✔ Bien",IF(NOT(ISNUMBER(B26)),"✘ Escribe solo el número (sin texto ni %).",IF(OR(ABS(B26-0.6529850746268657)&lt;=0.0006529850746268657,ABS(B26/100-0.6529850746268657)&lt;=0.0006529850746268657),"✘ Ese es el % de dentro de los grupos.","✘ Revisa el cálculo."))))</f>
        <v/>
      </c>
    </row>
    <row r="27"/>
    <row r="28">
      <c r="A28" s="11" t="inlineStr">
        <is>
          <t>Si todos los salarios suben un 3 %:</t>
        </is>
      </c>
    </row>
    <row r="29">
      <c r="A29" s="19" t="inlineStr">
        <is>
          <t>Nueva media global</t>
        </is>
      </c>
      <c r="B29" s="20" t="n"/>
      <c r="C29" s="19">
        <f>IF(B29="","",IF(AND(ISNUMBER(B29),ABS(B29-Claves!$A$192)&lt;=1.6531500000000001),"✔ Bien",IF(NOT(ISNUMBER(B29)),"✘ Escribe solo el número (sin texto ni %).","✘ Revisa el cálculo.")))</f>
        <v/>
      </c>
    </row>
    <row r="30">
      <c r="A30" s="19" t="inlineStr">
        <is>
          <t>Nueva varianza total</t>
        </is>
      </c>
      <c r="B30" s="20" t="n"/>
      <c r="C30" s="19">
        <f>IF(B30="","",IF(AND(ISNUMBER(B30),ABS(B30-Claves!$A$193)&lt;=85.29636),"✔ Bien",IF(NOT(ISNUMBER(B30)),"✘ Escribe solo el número (sin texto ni %).",IF(ABS(B30-82812)&lt;=82.812,"✘ La varianza se multiplica por a² (no por a).","✘ Revisa el cálculo."))))</f>
        <v/>
      </c>
    </row>
  </sheetData>
  <mergeCells count="9">
    <mergeCell ref="C23:I23"/>
    <mergeCell ref="C22:I22"/>
    <mergeCell ref="C26:I26"/>
    <mergeCell ref="C21:I21"/>
    <mergeCell ref="C20:I20"/>
    <mergeCell ref="C29:I29"/>
    <mergeCell ref="C24:I24"/>
    <mergeCell ref="C30:I30"/>
    <mergeCell ref="C25:I25"/>
  </mergeCells>
  <conditionalFormatting sqref="B15">
    <cfRule type="expression" priority="1" dxfId="0">
      <formula>AND(B15&lt;&gt;"",ISNUMBER(B15),ABS(B15-Claves!$A$173)&lt;=44.1)</formula>
    </cfRule>
    <cfRule type="expression" priority="2" dxfId="1">
      <formula>AND(B15&lt;&gt;"",OR(NOT(ISNUMBER(B15)),ABS(B15-Claves!$A$173)&gt;44.1))</formula>
    </cfRule>
  </conditionalFormatting>
  <conditionalFormatting sqref="C15">
    <cfRule type="expression" priority="3" dxfId="0">
      <formula>AND(C15&lt;&gt;"",ISNUMBER(C15),ABS(C15-Claves!$A$174)&lt;=1764)</formula>
    </cfRule>
    <cfRule type="expression" priority="4" dxfId="1">
      <formula>AND(C15&lt;&gt;"",OR(NOT(ISNUMBER(C15)),ABS(C15-Claves!$A$174)&gt;1764))</formula>
    </cfRule>
  </conditionalFormatting>
  <conditionalFormatting sqref="D15">
    <cfRule type="expression" priority="5" dxfId="0">
      <formula>AND(D15&lt;&gt;"",ISNUMBER(D15),ABS(D15-Claves!$A$175)&lt;=0.00051)</formula>
    </cfRule>
    <cfRule type="expression" priority="6" dxfId="1">
      <formula>AND(D15&lt;&gt;"",OR(NOT(ISNUMBER(D15)),ABS(D15-Claves!$A$175)&gt;0.00051))</formula>
    </cfRule>
  </conditionalFormatting>
  <conditionalFormatting sqref="E15">
    <cfRule type="expression" priority="7" dxfId="0">
      <formula>AND(E15&lt;&gt;"",ISNUMBER(E15),ABS(E15-Claves!$A$176)&lt;=81)</formula>
    </cfRule>
    <cfRule type="expression" priority="8" dxfId="1">
      <formula>AND(E15&lt;&gt;"",OR(NOT(ISNUMBER(E15)),ABS(E15-Claves!$A$176)&gt;81))</formula>
    </cfRule>
  </conditionalFormatting>
  <conditionalFormatting sqref="B16">
    <cfRule type="expression" priority="9" dxfId="0">
      <formula>AND(B16&lt;&gt;"",ISNUMBER(B16),ABS(B16-Claves!$A$177)&lt;=25.6)</formula>
    </cfRule>
    <cfRule type="expression" priority="10" dxfId="1">
      <formula>AND(B16&lt;&gt;"",OR(NOT(ISNUMBER(B16)),ABS(B16-Claves!$A$177)&gt;25.6))</formula>
    </cfRule>
  </conditionalFormatting>
  <conditionalFormatting sqref="C16">
    <cfRule type="expression" priority="11" dxfId="0">
      <formula>AND(C16&lt;&gt;"",ISNUMBER(C16),ABS(C16-Claves!$A$178)&lt;=2304)</formula>
    </cfRule>
    <cfRule type="expression" priority="12" dxfId="1">
      <formula>AND(C16&lt;&gt;"",OR(NOT(ISNUMBER(C16)),ABS(C16-Claves!$A$178)&gt;2304))</formula>
    </cfRule>
  </conditionalFormatting>
  <conditionalFormatting sqref="D16">
    <cfRule type="expression" priority="13" dxfId="0">
      <formula>AND(D16&lt;&gt;"",ISNUMBER(D16),ABS(D16-Claves!$A$179)&lt;=0.00051)</formula>
    </cfRule>
    <cfRule type="expression" priority="14" dxfId="1">
      <formula>AND(D16&lt;&gt;"",OR(NOT(ISNUMBER(D16)),ABS(D16-Claves!$A$179)&gt;0.00051))</formula>
    </cfRule>
  </conditionalFormatting>
  <conditionalFormatting sqref="E16">
    <cfRule type="expression" priority="15" dxfId="0">
      <formula>AND(E16&lt;&gt;"",ISNUMBER(E16),ABS(E16-Claves!$A$180)&lt;=1406.25)</formula>
    </cfRule>
    <cfRule type="expression" priority="16" dxfId="1">
      <formula>AND(E16&lt;&gt;"",OR(NOT(ISNUMBER(E16)),ABS(E16-Claves!$A$180)&gt;1406.25))</formula>
    </cfRule>
  </conditionalFormatting>
  <conditionalFormatting sqref="B17">
    <cfRule type="expression" priority="17" dxfId="0">
      <formula>AND(B17&lt;&gt;"",ISNUMBER(B17),ABS(B17-Claves!$A$181)&lt;=144.4)</formula>
    </cfRule>
    <cfRule type="expression" priority="18" dxfId="1">
      <formula>AND(B17&lt;&gt;"",OR(NOT(ISNUMBER(B17)),ABS(B17-Claves!$A$181)&gt;144.4))</formula>
    </cfRule>
  </conditionalFormatting>
  <conditionalFormatting sqref="C17">
    <cfRule type="expression" priority="19" dxfId="0">
      <formula>AND(C17&lt;&gt;"",ISNUMBER(C17),ABS(C17-Claves!$A$182)&lt;=4332)</formula>
    </cfRule>
    <cfRule type="expression" priority="20" dxfId="1">
      <formula>AND(C17&lt;&gt;"",OR(NOT(ISNUMBER(C17)),ABS(C17-Claves!$A$182)&gt;4332))</formula>
    </cfRule>
  </conditionalFormatting>
  <conditionalFormatting sqref="D17">
    <cfRule type="expression" priority="21" dxfId="0">
      <formula>AND(D17&lt;&gt;"",ISNUMBER(D17),ABS(D17-Claves!$A$183)&lt;=0.00051)</formula>
    </cfRule>
    <cfRule type="expression" priority="22" dxfId="1">
      <formula>AND(D17&lt;&gt;"",OR(NOT(ISNUMBER(D17)),ABS(D17-Claves!$A$183)&gt;0.00051))</formula>
    </cfRule>
  </conditionalFormatting>
  <conditionalFormatting sqref="E17">
    <cfRule type="expression" priority="23" dxfId="0">
      <formula>AND(E17&lt;&gt;"",ISNUMBER(E17),ABS(E17-Claves!$A$184)&lt;=2976.75)</formula>
    </cfRule>
    <cfRule type="expression" priority="24" dxfId="1">
      <formula>AND(E17&lt;&gt;"",OR(NOT(ISNUMBER(E17)),ABS(E17-Claves!$A$184)&gt;2976.75))</formula>
    </cfRule>
  </conditionalFormatting>
  <conditionalFormatting sqref="B20">
    <cfRule type="expression" priority="25" dxfId="0">
      <formula>LEFT($C20,1)="✔"</formula>
    </cfRule>
    <cfRule type="expression" priority="26" dxfId="1">
      <formula>LEFT($C20,1)="✘"</formula>
    </cfRule>
  </conditionalFormatting>
  <conditionalFormatting sqref="C20:I20">
    <cfRule type="expression" priority="27" dxfId="2">
      <formula>LEFT($C20,1)="✔"</formula>
    </cfRule>
    <cfRule type="expression" priority="28" dxfId="3">
      <formula>LEFT($C20,1)="✘"</formula>
    </cfRule>
  </conditionalFormatting>
  <conditionalFormatting sqref="B21">
    <cfRule type="expression" priority="29" dxfId="0">
      <formula>LEFT($C21,1)="✔"</formula>
    </cfRule>
    <cfRule type="expression" priority="30" dxfId="1">
      <formula>LEFT($C21,1)="✘"</formula>
    </cfRule>
  </conditionalFormatting>
  <conditionalFormatting sqref="C21:I21">
    <cfRule type="expression" priority="31" dxfId="2">
      <formula>LEFT($C21,1)="✔"</formula>
    </cfRule>
    <cfRule type="expression" priority="32" dxfId="3">
      <formula>LEFT($C21,1)="✘"</formula>
    </cfRule>
  </conditionalFormatting>
  <conditionalFormatting sqref="B22">
    <cfRule type="expression" priority="33" dxfId="0">
      <formula>LEFT($C22,1)="✔"</formula>
    </cfRule>
    <cfRule type="expression" priority="34" dxfId="1">
      <formula>LEFT($C22,1)="✘"</formula>
    </cfRule>
  </conditionalFormatting>
  <conditionalFormatting sqref="C22:I22">
    <cfRule type="expression" priority="35" dxfId="2">
      <formula>LEFT($C22,1)="✔"</formula>
    </cfRule>
    <cfRule type="expression" priority="36" dxfId="3">
      <formula>LEFT($C22,1)="✘"</formula>
    </cfRule>
  </conditionalFormatting>
  <conditionalFormatting sqref="B23">
    <cfRule type="expression" priority="37" dxfId="0">
      <formula>LEFT($C23,1)="✔"</formula>
    </cfRule>
    <cfRule type="expression" priority="38" dxfId="1">
      <formula>LEFT($C23,1)="✘"</formula>
    </cfRule>
  </conditionalFormatting>
  <conditionalFormatting sqref="C23:I23">
    <cfRule type="expression" priority="39" dxfId="2">
      <formula>LEFT($C23,1)="✔"</formula>
    </cfRule>
    <cfRule type="expression" priority="40" dxfId="3">
      <formula>LEFT($C23,1)="✘"</formula>
    </cfRule>
  </conditionalFormatting>
  <conditionalFormatting sqref="B24">
    <cfRule type="expression" priority="41" dxfId="0">
      <formula>LEFT($C24,1)="✔"</formula>
    </cfRule>
    <cfRule type="expression" priority="42" dxfId="1">
      <formula>LEFT($C24,1)="✘"</formula>
    </cfRule>
  </conditionalFormatting>
  <conditionalFormatting sqref="C24:I24">
    <cfRule type="expression" priority="43" dxfId="2">
      <formula>LEFT($C24,1)="✔"</formula>
    </cfRule>
    <cfRule type="expression" priority="44" dxfId="3">
      <formula>LEFT($C24,1)="✘"</formula>
    </cfRule>
  </conditionalFormatting>
  <conditionalFormatting sqref="B25">
    <cfRule type="expression" priority="45" dxfId="0">
      <formula>LEFT($C25,1)="✔"</formula>
    </cfRule>
    <cfRule type="expression" priority="46" dxfId="1">
      <formula>LEFT($C25,1)="✘"</formula>
    </cfRule>
  </conditionalFormatting>
  <conditionalFormatting sqref="C25:I25">
    <cfRule type="expression" priority="47" dxfId="2">
      <formula>LEFT($C25,1)="✔"</formula>
    </cfRule>
    <cfRule type="expression" priority="48" dxfId="3">
      <formula>LEFT($C25,1)="✘"</formula>
    </cfRule>
  </conditionalFormatting>
  <conditionalFormatting sqref="B26">
    <cfRule type="expression" priority="49" dxfId="0">
      <formula>LEFT($C26,1)="✔"</formula>
    </cfRule>
    <cfRule type="expression" priority="50" dxfId="1">
      <formula>LEFT($C26,1)="✘"</formula>
    </cfRule>
  </conditionalFormatting>
  <conditionalFormatting sqref="C26:I26">
    <cfRule type="expression" priority="51" dxfId="2">
      <formula>LEFT($C26,1)="✔"</formula>
    </cfRule>
    <cfRule type="expression" priority="52" dxfId="3">
      <formula>LEFT($C26,1)="✘"</formula>
    </cfRule>
  </conditionalFormatting>
  <conditionalFormatting sqref="B29">
    <cfRule type="expression" priority="53" dxfId="0">
      <formula>LEFT($C29,1)="✔"</formula>
    </cfRule>
    <cfRule type="expression" priority="54" dxfId="1">
      <formula>LEFT($C29,1)="✘"</formula>
    </cfRule>
  </conditionalFormatting>
  <conditionalFormatting sqref="C29:I29">
    <cfRule type="expression" priority="55" dxfId="2">
      <formula>LEFT($C29,1)="✔"</formula>
    </cfRule>
    <cfRule type="expression" priority="56" dxfId="3">
      <formula>LEFT($C29,1)="✘"</formula>
    </cfRule>
  </conditionalFormatting>
  <conditionalFormatting sqref="B30">
    <cfRule type="expression" priority="57" dxfId="0">
      <formula>LEFT($C30,1)="✔"</formula>
    </cfRule>
    <cfRule type="expression" priority="58" dxfId="1">
      <formula>LEFT($C30,1)="✘"</formula>
    </cfRule>
  </conditionalFormatting>
  <conditionalFormatting sqref="C30:I30">
    <cfRule type="expression" priority="59" dxfId="2">
      <formula>LEFT($C30,1)="✔"</formula>
    </cfRule>
    <cfRule type="expression" priority="60" dxfId="3">
      <formula>LEFT($C30,1)="✘"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FD0"/>
    <outlinePr summaryBelow="1" summaryRight="1"/>
    <pageSetUpPr/>
  </sheetPr>
  <dimension ref="A1:I26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Varianza dentro y entre grupos + cambios de escala · Nivel 2 · Con cabeceras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SUMPRODUCT(--(LEFT($C$1:$C$32,1)="✔"))</f>
        <v/>
      </c>
      <c r="G2" s="8" t="inlineStr">
        <is>
          <t>de 9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Salario medio por grupo (€). Te dan el tamaño, la media y la DESVIACIÓN TÍPICA de cada grupo.</t>
        </is>
      </c>
    </row>
    <row r="6">
      <c r="A6" s="15" t="inlineStr">
        <is>
          <t>Grupo</t>
        </is>
      </c>
      <c r="B6" s="15" t="inlineStr">
        <is>
          <t>Tamaño T</t>
        </is>
      </c>
      <c r="C6" s="15" t="inlineStr">
        <is>
          <t>Media</t>
        </is>
      </c>
      <c r="D6" s="15" t="inlineStr">
        <is>
          <t>Desv. típica</t>
        </is>
      </c>
    </row>
    <row r="7">
      <c r="A7" s="21" t="inlineStr">
        <is>
          <t>Hombres</t>
        </is>
      </c>
      <c r="B7" s="12" t="n">
        <v>120</v>
      </c>
      <c r="C7" s="12" t="n">
        <v>2350</v>
      </c>
      <c r="D7" s="12" t="n">
        <v>420</v>
      </c>
    </row>
    <row r="8">
      <c r="A8" s="21" t="inlineStr">
        <is>
          <t>Mujeres</t>
        </is>
      </c>
      <c r="B8" s="12" t="n">
        <v>80</v>
      </c>
      <c r="C8" s="12" t="n">
        <v>2080</v>
      </c>
      <c r="D8" s="12" t="n">
        <v>300</v>
      </c>
    </row>
    <row r="9"/>
    <row r="10">
      <c r="A10" s="13" t="inlineStr">
        <is>
          <t>Paso 1 · Tabla de trabajo</t>
        </is>
      </c>
    </row>
    <row r="11">
      <c r="A11" s="15" t="inlineStr">
        <is>
          <t>Grupo</t>
        </is>
      </c>
      <c r="B11" s="15" t="inlineStr">
        <is>
          <t>Varianza</t>
        </is>
      </c>
      <c r="C11" s="15" t="inlineStr">
        <is>
          <t>Varianza·T</t>
        </is>
      </c>
      <c r="D11" s="15" t="inlineStr">
        <is>
          <t>CV</t>
        </is>
      </c>
      <c r="E11" s="15" t="inlineStr">
        <is>
          <t>(media−global)²·T</t>
        </is>
      </c>
    </row>
    <row r="12">
      <c r="A12" s="12" t="inlineStr">
        <is>
          <t>Hombres</t>
        </is>
      </c>
      <c r="B12" s="18" t="n"/>
      <c r="C12" s="18" t="n"/>
      <c r="D12" s="18" t="n"/>
      <c r="E12" s="18" t="n"/>
    </row>
    <row r="13">
      <c r="A13" s="12" t="inlineStr">
        <is>
          <t>Mujeres</t>
        </is>
      </c>
      <c r="B13" s="18" t="n"/>
      <c r="C13" s="18" t="n"/>
      <c r="D13" s="18" t="n"/>
      <c r="E13" s="18" t="n"/>
    </row>
    <row r="14"/>
    <row r="15">
      <c r="A15" s="13" t="inlineStr">
        <is>
          <t>Preguntas</t>
        </is>
      </c>
    </row>
    <row r="16">
      <c r="A16" s="19" t="inlineStr">
        <is>
          <t>¿Qué grupo es más homogéneo? (escribe el nombre)</t>
        </is>
      </c>
      <c r="B16" s="20" t="n"/>
      <c r="C16" s="19">
        <f>IF(B16="","",IF(OR(UPPER(TRIM(B16))="MUJERES"),"✔ Bien","✘ Revisa la respuesta."))</f>
        <v/>
      </c>
    </row>
    <row r="17">
      <c r="A17" s="19" t="inlineStr">
        <is>
          <t>Media global</t>
        </is>
      </c>
      <c r="B17" s="20" t="n"/>
      <c r="C17" s="19">
        <f>IF(B17="","",IF(AND(ISNUMBER(B17),ABS(B17-Claves!$A$203)&lt;=2.242),"✔ Bien",IF(NOT(ISNUMBER(B17)),"✘ Escribe solo el número (sin texto ni %).",IF(ABS(B17-2215)&lt;=2.215,"✘ Has hecho la media de las medias sin ponderar por el tamaño de cada grupo.","✘ Revisa el cálculo."))))</f>
        <v/>
      </c>
    </row>
    <row r="18">
      <c r="A18" s="19" t="inlineStr">
        <is>
          <t>Varianza dentro de los grupos</t>
        </is>
      </c>
      <c r="B18" s="20" t="n"/>
      <c r="C18" s="19">
        <f>IF(B18="","",IF(AND(ISNUMBER(B18),ABS(B18-Claves!$A$204)&lt;=141.84),"✔ Bien",IF(NOT(ISNUMBER(B18)),"✘ Escribe solo el número (sin texto ni %).",IF(ABS(B18-372)&lt;=0.372,"✘ Has usado las desviaciones típicas. Hay que elevarlas al cuadrado (varianzas).","✘ Revisa el cálculo."))))</f>
        <v/>
      </c>
    </row>
    <row r="19">
      <c r="A19" s="19" t="inlineStr">
        <is>
          <t>Varianza entre los grupos</t>
        </is>
      </c>
      <c r="B19" s="20" t="n"/>
      <c r="C19" s="19">
        <f>IF(B19="","",IF(AND(ISNUMBER(B19),ABS(B19-Claves!$A$205)&lt;=17.496),"✔ Bien",IF(NOT(ISNUMBER(B19)),"✘ Escribe solo el número (sin texto ni %).","✘ Revisa el cálculo.")))</f>
        <v/>
      </c>
    </row>
    <row r="20">
      <c r="A20" s="19" t="inlineStr">
        <is>
          <t>Varianza total</t>
        </is>
      </c>
      <c r="B20" s="20" t="n"/>
      <c r="C20" s="19">
        <f>IF(B20="","",IF(AND(ISNUMBER(B20),ABS(B20-Claves!$A$206)&lt;=159.336),"✔ Bien",IF(NOT(ISNUMBER(B20)),"✘ Escribe solo el número (sin texto ni %).","✘ Revisa el cálculo.")))</f>
        <v/>
      </c>
    </row>
    <row r="21">
      <c r="A21" s="19" t="inlineStr">
        <is>
          <t>Desviación típica total</t>
        </is>
      </c>
      <c r="B21" s="20" t="n"/>
      <c r="C21" s="19">
        <f>IF(B21="","",IF(AND(ISNUMBER(B21),ABS(B21-Claves!$A$207)&lt;=0.39916913708351753),"✔ Bien",IF(NOT(ISNUMBER(B21)),"✘ Escribe solo el número (sin texto ni %).",IF(ABS(B21-159336)&lt;=159.336,"✘ Eso es la varianza. Haz la raíz cuadrada.","✘ Revisa el cálculo."))))</f>
        <v/>
      </c>
    </row>
    <row r="22" ht="30" customHeight="1">
      <c r="A22" s="19" t="inlineStr">
        <is>
          <t>% de la variabilidad debido a las diferencias entre grupos</t>
        </is>
      </c>
      <c r="B22" s="20" t="n"/>
      <c r="C22" s="19">
        <f>IF(B22="","",IF(AND(ISNUMBER(B22),OR(ABS(B22-Claves!$A$208)&lt;=0.00051,ABS(B22/100-Claves!$A$208)&lt;=0.00051)),"✔ Bien",IF(NOT(ISNUMBER(B22)),"✘ Escribe solo el número (sin texto ni %).",IF(OR(ABS(B22-0.8901943063714415)&lt;=0.0008901943063714415,ABS(B22/100-0.8901943063714415)&lt;=0.0008901943063714415),"✘ Ese es el % de dentro de los grupos.","✘ Revisa el cálculo."))))</f>
        <v/>
      </c>
    </row>
    <row r="23"/>
    <row r="24">
      <c r="A24" s="11" t="inlineStr">
        <is>
          <t>Si todos los salarios suben un 2 % y además 40 €:</t>
        </is>
      </c>
    </row>
    <row r="25">
      <c r="A25" s="19" t="inlineStr">
        <is>
          <t>Nueva media global</t>
        </is>
      </c>
      <c r="B25" s="20" t="n"/>
      <c r="C25" s="19">
        <f>IF(B25="","",IF(AND(ISNUMBER(B25),ABS(B25-Claves!$A$209)&lt;=2.3268400000000002),"✔ Bien",IF(NOT(ISNUMBER(B25)),"✘ Escribe solo el número (sin texto ni %).","✘ Revisa el cálculo.")))</f>
        <v/>
      </c>
    </row>
    <row r="26">
      <c r="A26" s="19" t="inlineStr">
        <is>
          <t>Nueva varianza total</t>
        </is>
      </c>
      <c r="B26" s="20" t="n"/>
      <c r="C26" s="19">
        <f>IF(B26="","",IF(AND(ISNUMBER(B26),ABS(B26-Claves!$A$210)&lt;=165.7731744),"✔ Bien",IF(NOT(ISNUMBER(B26)),"✘ Escribe solo el número (sin texto ni %).",IF(ABS(B26-162522.72)&lt;=162.52272,"✘ La varianza se multiplica por a² (no por a).","✘ Revisa el cálculo."))))</f>
        <v/>
      </c>
    </row>
  </sheetData>
  <mergeCells count="9">
    <mergeCell ref="C22:I22"/>
    <mergeCell ref="C18:I18"/>
    <mergeCell ref="C17:I17"/>
    <mergeCell ref="C26:I26"/>
    <mergeCell ref="C21:I21"/>
    <mergeCell ref="C20:I20"/>
    <mergeCell ref="C16:I16"/>
    <mergeCell ref="C25:I25"/>
    <mergeCell ref="C19:I19"/>
  </mergeCells>
  <conditionalFormatting sqref="B12">
    <cfRule type="expression" priority="1" dxfId="0">
      <formula>AND(B12&lt;&gt;"",ISNUMBER(B12),ABS(B12-Claves!$A$194)&lt;=176.4)</formula>
    </cfRule>
    <cfRule type="expression" priority="2" dxfId="1">
      <formula>AND(B12&lt;&gt;"",OR(NOT(ISNUMBER(B12)),ABS(B12-Claves!$A$194)&gt;176.4))</formula>
    </cfRule>
  </conditionalFormatting>
  <conditionalFormatting sqref="C12">
    <cfRule type="expression" priority="3" dxfId="0">
      <formula>AND(C12&lt;&gt;"",ISNUMBER(C12),ABS(C12-Claves!$A$195)&lt;=21168)</formula>
    </cfRule>
    <cfRule type="expression" priority="4" dxfId="1">
      <formula>AND(C12&lt;&gt;"",OR(NOT(ISNUMBER(C12)),ABS(C12-Claves!$A$195)&gt;21168))</formula>
    </cfRule>
  </conditionalFormatting>
  <conditionalFormatting sqref="D12">
    <cfRule type="expression" priority="5" dxfId="0">
      <formula>AND(D12&lt;&gt;"",ISNUMBER(D12),ABS(D12-Claves!$A$196)&lt;=0.00051)</formula>
    </cfRule>
    <cfRule type="expression" priority="6" dxfId="1">
      <formula>AND(D12&lt;&gt;"",OR(NOT(ISNUMBER(D12)),ABS(D12-Claves!$A$196)&gt;0.00051))</formula>
    </cfRule>
  </conditionalFormatting>
  <conditionalFormatting sqref="E12">
    <cfRule type="expression" priority="7" dxfId="0">
      <formula>AND(E12&lt;&gt;"",ISNUMBER(E12),ABS(E12-Claves!$A$197)&lt;=1399.68)</formula>
    </cfRule>
    <cfRule type="expression" priority="8" dxfId="1">
      <formula>AND(E12&lt;&gt;"",OR(NOT(ISNUMBER(E12)),ABS(E12-Claves!$A$197)&gt;1399.68))</formula>
    </cfRule>
  </conditionalFormatting>
  <conditionalFormatting sqref="B13">
    <cfRule type="expression" priority="9" dxfId="0">
      <formula>AND(B13&lt;&gt;"",ISNUMBER(B13),ABS(B13-Claves!$A$198)&lt;=90)</formula>
    </cfRule>
    <cfRule type="expression" priority="10" dxfId="1">
      <formula>AND(B13&lt;&gt;"",OR(NOT(ISNUMBER(B13)),ABS(B13-Claves!$A$198)&gt;90))</formula>
    </cfRule>
  </conditionalFormatting>
  <conditionalFormatting sqref="C13">
    <cfRule type="expression" priority="11" dxfId="0">
      <formula>AND(C13&lt;&gt;"",ISNUMBER(C13),ABS(C13-Claves!$A$199)&lt;=7200)</formula>
    </cfRule>
    <cfRule type="expression" priority="12" dxfId="1">
      <formula>AND(C13&lt;&gt;"",OR(NOT(ISNUMBER(C13)),ABS(C13-Claves!$A$199)&gt;7200))</formula>
    </cfRule>
  </conditionalFormatting>
  <conditionalFormatting sqref="D13">
    <cfRule type="expression" priority="13" dxfId="0">
      <formula>AND(D13&lt;&gt;"",ISNUMBER(D13),ABS(D13-Claves!$A$200)&lt;=0.00051)</formula>
    </cfRule>
    <cfRule type="expression" priority="14" dxfId="1">
      <formula>AND(D13&lt;&gt;"",OR(NOT(ISNUMBER(D13)),ABS(D13-Claves!$A$200)&gt;0.00051))</formula>
    </cfRule>
  </conditionalFormatting>
  <conditionalFormatting sqref="E13">
    <cfRule type="expression" priority="15" dxfId="0">
      <formula>AND(E13&lt;&gt;"",ISNUMBER(E13),ABS(E13-Claves!$A$201)&lt;=2099.52)</formula>
    </cfRule>
    <cfRule type="expression" priority="16" dxfId="1">
      <formula>AND(E13&lt;&gt;"",OR(NOT(ISNUMBER(E13)),ABS(E13-Claves!$A$201)&gt;2099.52))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conditionalFormatting sqref="B18">
    <cfRule type="expression" priority="25" dxfId="0">
      <formula>LEFT($C18,1)="✔"</formula>
    </cfRule>
    <cfRule type="expression" priority="26" dxfId="1">
      <formula>LEFT($C18,1)="✘"</formula>
    </cfRule>
  </conditionalFormatting>
  <conditionalFormatting sqref="C18:I18">
    <cfRule type="expression" priority="27" dxfId="2">
      <formula>LEFT($C18,1)="✔"</formula>
    </cfRule>
    <cfRule type="expression" priority="28" dxfId="3">
      <formula>LEFT($C18,1)="✘"</formula>
    </cfRule>
  </conditionalFormatting>
  <conditionalFormatting sqref="B19">
    <cfRule type="expression" priority="29" dxfId="0">
      <formula>LEFT($C19,1)="✔"</formula>
    </cfRule>
    <cfRule type="expression" priority="30" dxfId="1">
      <formula>LEFT($C19,1)="✘"</formula>
    </cfRule>
  </conditionalFormatting>
  <conditionalFormatting sqref="C19:I19">
    <cfRule type="expression" priority="31" dxfId="2">
      <formula>LEFT($C19,1)="✔"</formula>
    </cfRule>
    <cfRule type="expression" priority="32" dxfId="3">
      <formula>LEFT($C19,1)="✘"</formula>
    </cfRule>
  </conditionalFormatting>
  <conditionalFormatting sqref="B20">
    <cfRule type="expression" priority="33" dxfId="0">
      <formula>LEFT($C20,1)="✔"</formula>
    </cfRule>
    <cfRule type="expression" priority="34" dxfId="1">
      <formula>LEFT($C20,1)="✘"</formula>
    </cfRule>
  </conditionalFormatting>
  <conditionalFormatting sqref="C20:I20">
    <cfRule type="expression" priority="35" dxfId="2">
      <formula>LEFT($C20,1)="✔"</formula>
    </cfRule>
    <cfRule type="expression" priority="36" dxfId="3">
      <formula>LEFT($C20,1)="✘"</formula>
    </cfRule>
  </conditionalFormatting>
  <conditionalFormatting sqref="B21">
    <cfRule type="expression" priority="37" dxfId="0">
      <formula>LEFT($C21,1)="✔"</formula>
    </cfRule>
    <cfRule type="expression" priority="38" dxfId="1">
      <formula>LEFT($C21,1)="✘"</formula>
    </cfRule>
  </conditionalFormatting>
  <conditionalFormatting sqref="C21:I21">
    <cfRule type="expression" priority="39" dxfId="2">
      <formula>LEFT($C21,1)="✔"</formula>
    </cfRule>
    <cfRule type="expression" priority="40" dxfId="3">
      <formula>LEFT($C21,1)="✘"</formula>
    </cfRule>
  </conditionalFormatting>
  <conditionalFormatting sqref="B22">
    <cfRule type="expression" priority="41" dxfId="0">
      <formula>LEFT($C22,1)="✔"</formula>
    </cfRule>
    <cfRule type="expression" priority="42" dxfId="1">
      <formula>LEFT($C22,1)="✘"</formula>
    </cfRule>
  </conditionalFormatting>
  <conditionalFormatting sqref="C22:I22">
    <cfRule type="expression" priority="43" dxfId="2">
      <formula>LEFT($C22,1)="✔"</formula>
    </cfRule>
    <cfRule type="expression" priority="44" dxfId="3">
      <formula>LEFT($C22,1)="✘"</formula>
    </cfRule>
  </conditionalFormatting>
  <conditionalFormatting sqref="B25">
    <cfRule type="expression" priority="45" dxfId="0">
      <formula>LEFT($C25,1)="✔"</formula>
    </cfRule>
    <cfRule type="expression" priority="46" dxfId="1">
      <formula>LEFT($C25,1)="✘"</formula>
    </cfRule>
  </conditionalFormatting>
  <conditionalFormatting sqref="C25:I25">
    <cfRule type="expression" priority="47" dxfId="2">
      <formula>LEFT($C25,1)="✔"</formula>
    </cfRule>
    <cfRule type="expression" priority="48" dxfId="3">
      <formula>LEFT($C25,1)="✘"</formula>
    </cfRule>
  </conditionalFormatting>
  <conditionalFormatting sqref="B26">
    <cfRule type="expression" priority="49" dxfId="0">
      <formula>LEFT($C26,1)="✔"</formula>
    </cfRule>
    <cfRule type="expression" priority="50" dxfId="1">
      <formula>LEFT($C26,1)="✘"</formula>
    </cfRule>
  </conditionalFormatting>
  <conditionalFormatting sqref="C26:I26">
    <cfRule type="expression" priority="51" dxfId="2">
      <formula>LEFT($C26,1)="✔"</formula>
    </cfRule>
    <cfRule type="expression" priority="52" dxfId="3">
      <formula>LEFT($C26,1)="✘"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FD0"/>
    <outlinePr summaryBelow="1" summaryRight="1"/>
    <pageSetUpPr/>
  </sheetPr>
  <dimension ref="A1:I22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6" t="inlineStr">
        <is>
          <t>Varianza dentro y entre grupos + cambios de escala · Nivel 3 · Sin ayuda</t>
        </is>
      </c>
      <c r="B1" s="7" t="n"/>
      <c r="C1" s="7" t="n"/>
      <c r="D1" s="7" t="n"/>
      <c r="E1" s="7" t="n"/>
      <c r="F1" s="7" t="n"/>
      <c r="G1" s="7" t="n"/>
    </row>
    <row r="2">
      <c r="E2" s="8" t="inlineStr">
        <is>
          <t>Aciertos:</t>
        </is>
      </c>
      <c r="F2" s="9">
        <f>SUMPRODUCT(--(LEFT($C$1:$C$28,1)="✔"))</f>
        <v/>
      </c>
      <c r="G2" s="8" t="inlineStr">
        <is>
          <t>de 9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Salario medio por grupo (miles de €). Te dan el tamaño, la media y la DESVIACIÓN TÍPICA de cada grupo.</t>
        </is>
      </c>
    </row>
    <row r="6">
      <c r="A6" s="15" t="inlineStr">
        <is>
          <t>Grupo</t>
        </is>
      </c>
      <c r="B6" s="15" t="inlineStr">
        <is>
          <t>Tamaño T</t>
        </is>
      </c>
      <c r="C6" s="15" t="inlineStr">
        <is>
          <t>Media</t>
        </is>
      </c>
      <c r="D6" s="15" t="inlineStr">
        <is>
          <t>Desv. típica</t>
        </is>
      </c>
    </row>
    <row r="7">
      <c r="A7" s="21" t="inlineStr">
        <is>
          <t>Centro A</t>
        </is>
      </c>
      <c r="B7" s="12" t="n">
        <v>25</v>
      </c>
      <c r="C7" s="12" t="n">
        <v>24.5</v>
      </c>
      <c r="D7" s="12" t="n">
        <v>4.1</v>
      </c>
    </row>
    <row r="8">
      <c r="A8" s="21" t="inlineStr">
        <is>
          <t>Centro B</t>
        </is>
      </c>
      <c r="B8" s="12" t="n">
        <v>60</v>
      </c>
      <c r="C8" s="12" t="n">
        <v>21</v>
      </c>
      <c r="D8" s="12" t="n">
        <v>3.2</v>
      </c>
    </row>
    <row r="9">
      <c r="A9" s="21" t="inlineStr">
        <is>
          <t>Centro C</t>
        </is>
      </c>
      <c r="B9" s="12" t="n">
        <v>35</v>
      </c>
      <c r="C9" s="12" t="n">
        <v>27.5</v>
      </c>
      <c r="D9" s="12" t="n">
        <v>6</v>
      </c>
    </row>
    <row r="10"/>
    <row r="11">
      <c r="A11" s="13" t="inlineStr">
        <is>
          <t>Preguntas</t>
        </is>
      </c>
    </row>
    <row r="12">
      <c r="A12" s="19" t="inlineStr">
        <is>
          <t>¿Qué grupo es más homogéneo? (escribe el nombre)</t>
        </is>
      </c>
      <c r="B12" s="20" t="n"/>
      <c r="C12" s="19">
        <f>IF(B12="","",IF(OR(UPPER(TRIM(B12))="CENTRO B"),"✔ Bien","✘ Revisa la respuesta."))</f>
        <v/>
      </c>
    </row>
    <row r="13">
      <c r="A13" s="19" t="inlineStr">
        <is>
          <t>Media global</t>
        </is>
      </c>
      <c r="B13" s="20" t="n"/>
      <c r="C13" s="19">
        <f>IF(B13="","",IF(AND(ISNUMBER(B13),ABS(B13-Claves!$A$212)&lt;=0.023625),"✔ Bien",IF(NOT(ISNUMBER(B13)),"✘ Escribe solo el número (sin texto ni %).",IF(ABS(B13-24.333333333333332)&lt;=0.024333333333333332,"✘ Has hecho la media de las medias sin ponderar por el tamaño de cada grupo.","✘ Revisa el cálculo."))))</f>
        <v/>
      </c>
    </row>
    <row r="14">
      <c r="A14" s="19" t="inlineStr">
        <is>
          <t>Varianza dentro de los grupos</t>
        </is>
      </c>
      <c r="B14" s="20" t="n"/>
      <c r="C14" s="19">
        <f>IF(B14="","",IF(AND(ISNUMBER(B14),ABS(B14-Claves!$A$213)&lt;=0.051000000000000004),"✔ Bien",IF(NOT(ISNUMBER(B14)),"✘ Escribe solo el número (sin texto ni %).",IF(ABS(B14-4.204166666666667)&lt;=0.051000000000000004,"✘ Has usado las desviaciones típicas. Hay que elevarlas al cuadrado (varianzas).","✘ Revisa el cálculo."))))</f>
        <v/>
      </c>
    </row>
    <row r="15">
      <c r="A15" s="19" t="inlineStr">
        <is>
          <t>Varianza entre los grupos</t>
        </is>
      </c>
      <c r="B15" s="20" t="n"/>
      <c r="C15" s="19">
        <f>IF(B15="","",IF(AND(ISNUMBER(B15),ABS(B15-Claves!$A$214)&lt;=0.051000000000000004),"✔ Bien",IF(NOT(ISNUMBER(B15)),"✘ Escribe solo el número (sin texto ni %).","✘ Revisa el cálculo.")))</f>
        <v/>
      </c>
    </row>
    <row r="16">
      <c r="A16" s="19" t="inlineStr">
        <is>
          <t>Varianza total</t>
        </is>
      </c>
      <c r="B16" s="20" t="n"/>
      <c r="C16" s="19">
        <f>IF(B16="","",IF(AND(ISNUMBER(B16),ABS(B16-Claves!$A$215)&lt;=0.051000000000000004),"✔ Bien",IF(NOT(ISNUMBER(B16)),"✘ Escribe solo el número (sin texto ni %).","✘ Revisa el cálculo.")))</f>
        <v/>
      </c>
    </row>
    <row r="17">
      <c r="A17" s="19" t="inlineStr">
        <is>
          <t>Desviación típica total</t>
        </is>
      </c>
      <c r="B17" s="20" t="n"/>
      <c r="C17" s="19">
        <f>IF(B17="","",IF(AND(ISNUMBER(B17),ABS(B17-Claves!$A$216)&lt;=0.005206386302737565),"✔ Bien",IF(NOT(ISNUMBER(B17)),"✘ Escribe solo el número (sin texto ni %).",IF(ABS(B17-27.106458333333332)&lt;=0.027106458333333333,"✘ Eso es la varianza. Haz la raíz cuadrada.","✘ Revisa el cálculo."))))</f>
        <v/>
      </c>
    </row>
    <row r="18" ht="30" customHeight="1">
      <c r="A18" s="19" t="inlineStr">
        <is>
          <t>% de la variabilidad debido a las diferencias entre grupos</t>
        </is>
      </c>
      <c r="B18" s="20" t="n"/>
      <c r="C18" s="19">
        <f>IF(B18="","",IF(AND(ISNUMBER(B18),OR(ABS(B18-Claves!$A$217)&lt;=0.00051,ABS(B18/100-Claves!$A$217)&lt;=0.00051)),"✔ Bien",IF(NOT(ISNUMBER(B18)),"✘ Escribe solo el número (sin texto ni %).",IF(OR(ABS(B18-0.7054438133593623)&lt;=0.0007054438133593623,ABS(B18/100-0.7054438133593623)&lt;=0.0007054438133593623),"✘ Ese es el % de dentro de los grupos.","✘ Revisa el cálculo."))))</f>
        <v/>
      </c>
    </row>
    <row r="19"/>
    <row r="20">
      <c r="A20" s="11" t="inlineStr">
        <is>
          <t>Si todos los salarios aumentan 1,5 (miles de €) a todos:</t>
        </is>
      </c>
    </row>
    <row r="21">
      <c r="A21" s="19" t="inlineStr">
        <is>
          <t>Nueva media global</t>
        </is>
      </c>
      <c r="B21" s="20" t="n"/>
      <c r="C21" s="19">
        <f>IF(B21="","",IF(AND(ISNUMBER(B21),ABS(B21-Claves!$A$218)&lt;=0.025125),"✔ Bien",IF(NOT(ISNUMBER(B21)),"✘ Escribe solo el número (sin texto ni %).","✘ Revisa el cálculo.")))</f>
        <v/>
      </c>
    </row>
    <row r="22">
      <c r="A22" s="19" t="inlineStr">
        <is>
          <t>Nueva varianza total</t>
        </is>
      </c>
      <c r="B22" s="20" t="n"/>
      <c r="C22" s="19">
        <f>IF(B22="","",IF(AND(ISNUMBER(B22),ABS(B22-Claves!$A$219)&lt;=0.051000000000000004),"✔ Bien",IF(NOT(ISNUMBER(B22)),"✘ Escribe solo el número (sin texto ni %).",IF(ABS(B22-28.606458333333332)&lt;=0.051000000000000004,"✘ Sumar una cantidad fija NO cambia la varianza.",IF(ABS(B22-28.606458333333332)&lt;=0.051000000000000004,"✘ Sumar una cantidad fija NO cambia la varianza.","✘ Revisa el cálculo.")))))</f>
        <v/>
      </c>
    </row>
  </sheetData>
  <mergeCells count="9">
    <mergeCell ref="C14:I14"/>
    <mergeCell ref="C13:I13"/>
    <mergeCell ref="C22:I22"/>
    <mergeCell ref="C18:I18"/>
    <mergeCell ref="C17:I17"/>
    <mergeCell ref="C21:I21"/>
    <mergeCell ref="C12:I12"/>
    <mergeCell ref="C16:I16"/>
    <mergeCell ref="C15:I15"/>
  </mergeCells>
  <conditionalFormatting sqref="B12">
    <cfRule type="expression" priority="1" dxfId="0">
      <formula>LEFT($C12,1)="✔"</formula>
    </cfRule>
    <cfRule type="expression" priority="2" dxfId="1">
      <formula>LEFT($C12,1)="✘"</formula>
    </cfRule>
  </conditionalFormatting>
  <conditionalFormatting sqref="C12:I12">
    <cfRule type="expression" priority="3" dxfId="2">
      <formula>LEFT($C12,1)="✔"</formula>
    </cfRule>
    <cfRule type="expression" priority="4" dxfId="3">
      <formula>LEFT($C12,1)="✘"</formula>
    </cfRule>
  </conditionalFormatting>
  <conditionalFormatting sqref="B13">
    <cfRule type="expression" priority="5" dxfId="0">
      <formula>LEFT($C13,1)="✔"</formula>
    </cfRule>
    <cfRule type="expression" priority="6" dxfId="1">
      <formula>LEFT($C13,1)="✘"</formula>
    </cfRule>
  </conditionalFormatting>
  <conditionalFormatting sqref="C13:I13">
    <cfRule type="expression" priority="7" dxfId="2">
      <formula>LEFT($C13,1)="✔"</formula>
    </cfRule>
    <cfRule type="expression" priority="8" dxfId="3">
      <formula>LEFT($C13,1)="✘"</formula>
    </cfRule>
  </conditionalFormatting>
  <conditionalFormatting sqref="B14">
    <cfRule type="expression" priority="9" dxfId="0">
      <formula>LEFT($C14,1)="✔"</formula>
    </cfRule>
    <cfRule type="expression" priority="10" dxfId="1">
      <formula>LEFT($C14,1)="✘"</formula>
    </cfRule>
  </conditionalFormatting>
  <conditionalFormatting sqref="C14:I14">
    <cfRule type="expression" priority="11" dxfId="2">
      <formula>LEFT($C14,1)="✔"</formula>
    </cfRule>
    <cfRule type="expression" priority="12" dxfId="3">
      <formula>LEFT($C14,1)="✘"</formula>
    </cfRule>
  </conditionalFormatting>
  <conditionalFormatting sqref="B15">
    <cfRule type="expression" priority="13" dxfId="0">
      <formula>LEFT($C15,1)="✔"</formula>
    </cfRule>
    <cfRule type="expression" priority="14" dxfId="1">
      <formula>LEFT($C15,1)="✘"</formula>
    </cfRule>
  </conditionalFormatting>
  <conditionalFormatting sqref="C15:I15">
    <cfRule type="expression" priority="15" dxfId="2">
      <formula>LEFT($C15,1)="✔"</formula>
    </cfRule>
    <cfRule type="expression" priority="16" dxfId="3">
      <formula>LEFT($C15,1)="✘"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conditionalFormatting sqref="B18">
    <cfRule type="expression" priority="25" dxfId="0">
      <formula>LEFT($C18,1)="✔"</formula>
    </cfRule>
    <cfRule type="expression" priority="26" dxfId="1">
      <formula>LEFT($C18,1)="✘"</formula>
    </cfRule>
  </conditionalFormatting>
  <conditionalFormatting sqref="C18:I18">
    <cfRule type="expression" priority="27" dxfId="2">
      <formula>LEFT($C18,1)="✔"</formula>
    </cfRule>
    <cfRule type="expression" priority="28" dxfId="3">
      <formula>LEFT($C18,1)="✘"</formula>
    </cfRule>
  </conditionalFormatting>
  <conditionalFormatting sqref="B21">
    <cfRule type="expression" priority="29" dxfId="0">
      <formula>LEFT($C21,1)="✔"</formula>
    </cfRule>
    <cfRule type="expression" priority="30" dxfId="1">
      <formula>LEFT($C21,1)="✘"</formula>
    </cfRule>
  </conditionalFormatting>
  <conditionalFormatting sqref="C21:I21">
    <cfRule type="expression" priority="31" dxfId="2">
      <formula>LEFT($C21,1)="✔"</formula>
    </cfRule>
    <cfRule type="expression" priority="32" dxfId="3">
      <formula>LEFT($C21,1)="✘"</formula>
    </cfRule>
  </conditionalFormatting>
  <conditionalFormatting sqref="B22">
    <cfRule type="expression" priority="33" dxfId="0">
      <formula>LEFT($C22,1)="✔"</formula>
    </cfRule>
    <cfRule type="expression" priority="34" dxfId="1">
      <formula>LEFT($C22,1)="✘"</formula>
    </cfRule>
  </conditionalFormatting>
  <conditionalFormatting sqref="C22:I22">
    <cfRule type="expression" priority="35" dxfId="2">
      <formula>LEFT($C22,1)="✔"</formula>
    </cfRule>
    <cfRule type="expression" priority="36" dxfId="3">
      <formula>LEFT($C22,1)="✘"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8A68"/>
    <outlinePr summaryBelow="1" summaryRight="1"/>
    <pageSetUpPr/>
  </sheetPr>
  <dimension ref="A1:I33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2" t="inlineStr">
        <is>
          <t>Tabla de doble entrada e independencia · Nivel 1 · Con guía</t>
        </is>
      </c>
      <c r="B1" s="23" t="n"/>
      <c r="C1" s="23" t="n"/>
      <c r="D1" s="23" t="n"/>
      <c r="E1" s="23" t="n"/>
      <c r="F1" s="23" t="n"/>
      <c r="G1" s="23" t="n"/>
    </row>
    <row r="2">
      <c r="E2" s="8" t="inlineStr">
        <is>
          <t>Aciertos:</t>
        </is>
      </c>
      <c r="F2" s="9">
        <f>SUMPRODUCT(--(LEFT($C$1:$C$39,1)="✔"))</f>
        <v/>
      </c>
      <c r="G2" s="8" t="inlineStr">
        <is>
          <t>de 7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140 trabajadores según turno (filas) y satisfacción (columnas).</t>
        </is>
      </c>
    </row>
    <row r="6">
      <c r="A6" s="15" t="inlineStr">
        <is>
          <t>Turno \ Satisfacción</t>
        </is>
      </c>
      <c r="B6" s="15" t="inlineStr">
        <is>
          <t>Alta</t>
        </is>
      </c>
      <c r="C6" s="15" t="inlineStr">
        <is>
          <t>Media</t>
        </is>
      </c>
      <c r="D6" s="15" t="inlineStr">
        <is>
          <t>Baja</t>
        </is>
      </c>
    </row>
    <row r="7">
      <c r="A7" s="21" t="inlineStr">
        <is>
          <t>Mañana</t>
        </is>
      </c>
      <c r="B7" s="12" t="n">
        <v>22</v>
      </c>
      <c r="C7" s="12" t="n">
        <v>18</v>
      </c>
      <c r="D7" s="12" t="n">
        <v>8</v>
      </c>
    </row>
    <row r="8">
      <c r="A8" s="21" t="inlineStr">
        <is>
          <t>Tarde</t>
        </is>
      </c>
      <c r="B8" s="12" t="n">
        <v>14</v>
      </c>
      <c r="C8" s="12" t="n">
        <v>20</v>
      </c>
      <c r="D8" s="12" t="n">
        <v>16</v>
      </c>
    </row>
    <row r="9">
      <c r="A9" s="21" t="inlineStr">
        <is>
          <t>Noche</t>
        </is>
      </c>
      <c r="B9" s="12" t="n">
        <v>5</v>
      </c>
      <c r="C9" s="12" t="n">
        <v>11</v>
      </c>
      <c r="D9" s="12" t="n">
        <v>26</v>
      </c>
    </row>
    <row r="10"/>
    <row r="11">
      <c r="A11" s="24" t="inlineStr">
        <is>
          <t>Paso 1 · Totales y frecuencias relativas fᵢⱼ = nᵢⱼ / n</t>
        </is>
      </c>
    </row>
    <row r="12">
      <c r="A12" s="14" t="inlineStr">
        <is>
          <t>💡 Total de fila = suma de la fila. fᵢⱼ = cada casilla ÷ n. Independencia: compara fᵢⱼ con fᵢ.·f.ⱼ en TODAS las casillas.</t>
        </is>
      </c>
    </row>
    <row r="13">
      <c r="A13" s="15" t="inlineStr"/>
      <c r="B13" s="15" t="inlineStr">
        <is>
          <t>Total fila</t>
        </is>
      </c>
      <c r="C13" s="15" t="inlineStr">
        <is>
          <t>f · Alta</t>
        </is>
      </c>
      <c r="D13" s="15" t="inlineStr">
        <is>
          <t>f · Media</t>
        </is>
      </c>
      <c r="E13" s="15" t="inlineStr">
        <is>
          <t>f · Baja</t>
        </is>
      </c>
    </row>
    <row r="14" ht="30" customHeight="1">
      <c r="A14" s="16" t="inlineStr">
        <is>
          <t>Pista →</t>
        </is>
      </c>
      <c r="B14" s="17" t="inlineStr">
        <is>
          <t>ej. =SUMA(fila)</t>
        </is>
      </c>
      <c r="C14" s="17" t="inlineStr">
        <is>
          <t>ej. =nᵢⱼ/n</t>
        </is>
      </c>
      <c r="D14" s="17" t="inlineStr">
        <is>
          <t>ej. =nᵢⱼ/n</t>
        </is>
      </c>
      <c r="E14" s="17" t="inlineStr">
        <is>
          <t>ej. =nᵢⱼ/n</t>
        </is>
      </c>
    </row>
    <row r="15">
      <c r="A15" s="12" t="inlineStr">
        <is>
          <t>Mañana</t>
        </is>
      </c>
      <c r="B15" s="18" t="n"/>
      <c r="C15" s="18" t="n"/>
      <c r="D15" s="18" t="n"/>
      <c r="E15" s="18" t="n"/>
    </row>
    <row r="16">
      <c r="A16" s="12" t="inlineStr">
        <is>
          <t>Tarde</t>
        </is>
      </c>
      <c r="B16" s="18" t="n"/>
      <c r="C16" s="18" t="n"/>
      <c r="D16" s="18" t="n"/>
      <c r="E16" s="18" t="n"/>
    </row>
    <row r="17">
      <c r="A17" s="12" t="inlineStr">
        <is>
          <t>Noche</t>
        </is>
      </c>
      <c r="B17" s="18" t="n"/>
      <c r="C17" s="18" t="n"/>
      <c r="D17" s="18" t="n"/>
      <c r="E17" s="18" t="n"/>
    </row>
    <row r="18"/>
    <row r="19">
      <c r="A19" s="25" t="inlineStr">
        <is>
          <t>Ahora lo que habría si fueran independientes, fᵢ. × f.ⱼ:</t>
        </is>
      </c>
    </row>
    <row r="20">
      <c r="A20" s="15" t="inlineStr"/>
      <c r="B20" s="15" t="inlineStr">
        <is>
          <t>fᵢ.·f.ⱼ · Alta</t>
        </is>
      </c>
      <c r="C20" s="15" t="inlineStr">
        <is>
          <t>fᵢ.·f.ⱼ · Media</t>
        </is>
      </c>
      <c r="D20" s="15" t="inlineStr">
        <is>
          <t>fᵢ.·f.ⱼ · Baja</t>
        </is>
      </c>
    </row>
    <row r="21" ht="30" customHeight="1">
      <c r="A21" s="16" t="inlineStr">
        <is>
          <t>Pista →</t>
        </is>
      </c>
      <c r="B21" s="17" t="inlineStr">
        <is>
          <t>ej. =(total fila/n)*(total col/n)</t>
        </is>
      </c>
      <c r="C21" s="17" t="inlineStr">
        <is>
          <t>ej. =(total fila/n)*(total col/n)</t>
        </is>
      </c>
      <c r="D21" s="17" t="inlineStr">
        <is>
          <t>ej. =(total fila/n)*(total col/n)</t>
        </is>
      </c>
    </row>
    <row r="22">
      <c r="A22" s="12" t="inlineStr">
        <is>
          <t>Mañana</t>
        </is>
      </c>
      <c r="B22" s="18" t="n"/>
      <c r="C22" s="18" t="n"/>
      <c r="D22" s="18" t="n"/>
    </row>
    <row r="23">
      <c r="A23" s="12" t="inlineStr">
        <is>
          <t>Tarde</t>
        </is>
      </c>
      <c r="B23" s="18" t="n"/>
      <c r="C23" s="18" t="n"/>
      <c r="D23" s="18" t="n"/>
    </row>
    <row r="24">
      <c r="A24" s="12" t="inlineStr">
        <is>
          <t>Noche</t>
        </is>
      </c>
      <c r="B24" s="18" t="n"/>
      <c r="C24" s="18" t="n"/>
      <c r="D24" s="18" t="n"/>
    </row>
    <row r="25"/>
    <row r="26">
      <c r="A26" s="24" t="inlineStr">
        <is>
          <t>Preguntas</t>
        </is>
      </c>
    </row>
    <row r="27">
      <c r="A27" s="19" t="inlineStr">
        <is>
          <t>n (total)</t>
        </is>
      </c>
      <c r="B27" s="20" t="n"/>
      <c r="C27" s="19">
        <f>IF(B27="","",IF(AND(ISNUMBER(B27),ABS(B27-Claves!$A$241)&lt;=0.51),"✔ Bien",IF(NOT(ISNUMBER(B27)),"✘ Escribe solo el número (sin texto ni %).","✘ Revisa el cálculo.")))</f>
        <v/>
      </c>
    </row>
    <row r="28">
      <c r="A28" s="19" t="inlineStr">
        <is>
          <t>Distribución marginal: total de "Media"</t>
        </is>
      </c>
      <c r="B28" s="20" t="n"/>
      <c r="C28" s="19">
        <f>IF(B28="","",IF(AND(ISNUMBER(B28),ABS(B28-Claves!$A$242)&lt;=0.51),"✔ Bien",IF(NOT(ISNUMBER(B28)),"✘ Escribe solo el número (sin texto ni %).","✘ Revisa el cálculo.")))</f>
        <v/>
      </c>
    </row>
    <row r="29">
      <c r="A29" s="19" t="inlineStr">
        <is>
          <t>f₁₁ (proporción de Mañana y Alta, en decimal)</t>
        </is>
      </c>
      <c r="B29" s="20" t="n"/>
      <c r="C29" s="19">
        <f>IF(B29="","",IF(AND(ISNUMBER(B29),OR(ABS(B29-Claves!$A$243)&lt;=0.00051,ABS(B29/100-Claves!$A$243)&lt;=0.00051)),"✔ Bien",IF(NOT(ISNUMBER(B29)),"✘ Escribe solo el número (sin texto ni %).","✘ Revisa el cálculo.")))</f>
        <v/>
      </c>
    </row>
    <row r="30" ht="30" customHeight="1">
      <c r="A30" s="19" t="inlineStr">
        <is>
          <t>f₁. × f.₁ (lo que habría si fueran independientes)</t>
        </is>
      </c>
      <c r="B30" s="20" t="n"/>
      <c r="C30" s="19">
        <f>IF(B30="","",IF(AND(ISNUMBER(B30),OR(ABS(B30-Claves!$A$244)&lt;=0.00051,ABS(B30/100-Claves!$A$244)&lt;=0.00051)),"✔ Bien",IF(NOT(ISNUMBER(B30)),"✘ Escribe solo el número (sin texto ni %).","✘ Revisa el cálculo.")))</f>
        <v/>
      </c>
    </row>
    <row r="31" ht="30" customHeight="1">
      <c r="A31" s="19" t="inlineStr">
        <is>
          <t>De los de Noche, ¿qué proporción es "Baja"? (Satisfacción | Turno = Noche)</t>
        </is>
      </c>
      <c r="B31" s="20" t="n"/>
      <c r="C31" s="19">
        <f>IF(B31="","",IF(AND(ISNUMBER(B31),OR(ABS(B31-Claves!$A$245)&lt;=0.0006190476190476191,ABS(B31/100-Claves!$A$245)&lt;=0.0006190476190476191)),"✔ Bien",IF(NOT(ISNUMBER(B31)),"✘ Escribe solo el número (sin texto ni %).",IF(OR(ABS(B31-0.18571428571428572)&lt;=0.00051,ABS(B31/100-0.18571428571428572)&lt;=0.00051),"✘ En una condicionada se divide entre el total de la FILA, no entre n.",IF(OR(ABS(B31-0.52)&lt;=0.0005200000000000001,ABS(B31/100-0.52)&lt;=0.0005200000000000001),"✘ Eso es Turno | Satisfacción: has dividido entre el total de la columna.","✘ Revisa el cálculo.")))))</f>
        <v/>
      </c>
    </row>
    <row r="32" ht="30" customHeight="1">
      <c r="A32" s="19" t="inlineStr">
        <is>
          <t>De los "Alta", ¿qué proporción es de Tarde? (Turno | Satisfacción = Alta)</t>
        </is>
      </c>
      <c r="B32" s="20" t="n"/>
      <c r="C32" s="19">
        <f>IF(B32="","",IF(AND(ISNUMBER(B32),OR(ABS(B32-Claves!$A$246)&lt;=0.00051,ABS(B32/100-Claves!$A$246)&lt;=0.00051)),"✔ Bien",IF(NOT(ISNUMBER(B32)),"✘ Escribe solo el número (sin texto ni %).",IF(OR(ABS(B32-0.28)&lt;=0.00051,ABS(B32/100-0.28)&lt;=0.00051),"✘ Eso es la condicionada por fila. Aquí te restringes a la COLUMNA.",IF(OR(ABS(B32-0.1)&lt;=0.00051,ABS(B32/100-0.1)&lt;=0.00051),"✘ Divide entre el total de la columna, no entre n.","✘ Revisa el cálculo.")))))</f>
        <v/>
      </c>
    </row>
    <row r="33">
      <c r="A33" s="19" t="inlineStr">
        <is>
          <t>¿Son independientes? (Sí / No)</t>
        </is>
      </c>
      <c r="B33" s="20" t="n"/>
      <c r="C33" s="19">
        <f>IF(B33="","",IF(OR(UPPER(TRIM(B33))="NO"),"✔ Bien",IF(UPPER(TRIM(B33))="SI","✘ Compara fᵢⱼ con fᵢ.×f.ⱼ en todas las casillas (o los % de cada fila).",IF(UPPER(TRIM(B33))="SÍ","✘ Compara fᵢⱼ con fᵢ.×f.ⱼ en todas las casillas (o los % de cada fila).","✘ Revisa la respuesta."))))</f>
        <v/>
      </c>
    </row>
  </sheetData>
  <mergeCells count="7">
    <mergeCell ref="C28:I28"/>
    <mergeCell ref="C31:I31"/>
    <mergeCell ref="C29:I29"/>
    <mergeCell ref="C30:I30"/>
    <mergeCell ref="C32:I32"/>
    <mergeCell ref="C33:I33"/>
    <mergeCell ref="C27:I27"/>
  </mergeCells>
  <conditionalFormatting sqref="B15">
    <cfRule type="expression" priority="1" dxfId="0">
      <formula>AND(B15&lt;&gt;"",ISNUMBER(B15),ABS(B15-Claves!$A$220)&lt;=0.51)</formula>
    </cfRule>
    <cfRule type="expression" priority="2" dxfId="1">
      <formula>AND(B15&lt;&gt;"",OR(NOT(ISNUMBER(B15)),ABS(B15-Claves!$A$220)&gt;0.51))</formula>
    </cfRule>
  </conditionalFormatting>
  <conditionalFormatting sqref="C15">
    <cfRule type="expression" priority="3" dxfId="0">
      <formula>AND(C15&lt;&gt;"",ISNUMBER(C15),ABS(C15-Claves!$A$221)&lt;=0.00051)</formula>
    </cfRule>
    <cfRule type="expression" priority="4" dxfId="1">
      <formula>AND(C15&lt;&gt;"",OR(NOT(ISNUMBER(C15)),ABS(C15-Claves!$A$221)&gt;0.00051))</formula>
    </cfRule>
  </conditionalFormatting>
  <conditionalFormatting sqref="D15">
    <cfRule type="expression" priority="5" dxfId="0">
      <formula>AND(D15&lt;&gt;"",ISNUMBER(D15),ABS(D15-Claves!$A$222)&lt;=0.00051)</formula>
    </cfRule>
    <cfRule type="expression" priority="6" dxfId="1">
      <formula>AND(D15&lt;&gt;"",OR(NOT(ISNUMBER(D15)),ABS(D15-Claves!$A$222)&gt;0.00051))</formula>
    </cfRule>
  </conditionalFormatting>
  <conditionalFormatting sqref="E15">
    <cfRule type="expression" priority="7" dxfId="0">
      <formula>AND(E15&lt;&gt;"",ISNUMBER(E15),ABS(E15-Claves!$A$223)&lt;=0.00051)</formula>
    </cfRule>
    <cfRule type="expression" priority="8" dxfId="1">
      <formula>AND(E15&lt;&gt;"",OR(NOT(ISNUMBER(E15)),ABS(E15-Claves!$A$223)&gt;0.00051))</formula>
    </cfRule>
  </conditionalFormatting>
  <conditionalFormatting sqref="B16">
    <cfRule type="expression" priority="9" dxfId="0">
      <formula>AND(B16&lt;&gt;"",ISNUMBER(B16),ABS(B16-Claves!$A$224)&lt;=0.51)</formula>
    </cfRule>
    <cfRule type="expression" priority="10" dxfId="1">
      <formula>AND(B16&lt;&gt;"",OR(NOT(ISNUMBER(B16)),ABS(B16-Claves!$A$224)&gt;0.51))</formula>
    </cfRule>
  </conditionalFormatting>
  <conditionalFormatting sqref="C16">
    <cfRule type="expression" priority="11" dxfId="0">
      <formula>AND(C16&lt;&gt;"",ISNUMBER(C16),ABS(C16-Claves!$A$225)&lt;=0.00051)</formula>
    </cfRule>
    <cfRule type="expression" priority="12" dxfId="1">
      <formula>AND(C16&lt;&gt;"",OR(NOT(ISNUMBER(C16)),ABS(C16-Claves!$A$225)&gt;0.00051))</formula>
    </cfRule>
  </conditionalFormatting>
  <conditionalFormatting sqref="D16">
    <cfRule type="expression" priority="13" dxfId="0">
      <formula>AND(D16&lt;&gt;"",ISNUMBER(D16),ABS(D16-Claves!$A$226)&lt;=0.00051)</formula>
    </cfRule>
    <cfRule type="expression" priority="14" dxfId="1">
      <formula>AND(D16&lt;&gt;"",OR(NOT(ISNUMBER(D16)),ABS(D16-Claves!$A$226)&gt;0.00051))</formula>
    </cfRule>
  </conditionalFormatting>
  <conditionalFormatting sqref="E16">
    <cfRule type="expression" priority="15" dxfId="0">
      <formula>AND(E16&lt;&gt;"",ISNUMBER(E16),ABS(E16-Claves!$A$227)&lt;=0.00051)</formula>
    </cfRule>
    <cfRule type="expression" priority="16" dxfId="1">
      <formula>AND(E16&lt;&gt;"",OR(NOT(ISNUMBER(E16)),ABS(E16-Claves!$A$227)&gt;0.00051))</formula>
    </cfRule>
  </conditionalFormatting>
  <conditionalFormatting sqref="B17">
    <cfRule type="expression" priority="17" dxfId="0">
      <formula>AND(B17&lt;&gt;"",ISNUMBER(B17),ABS(B17-Claves!$A$228)&lt;=0.51)</formula>
    </cfRule>
    <cfRule type="expression" priority="18" dxfId="1">
      <formula>AND(B17&lt;&gt;"",OR(NOT(ISNUMBER(B17)),ABS(B17-Claves!$A$228)&gt;0.51))</formula>
    </cfRule>
  </conditionalFormatting>
  <conditionalFormatting sqref="C17">
    <cfRule type="expression" priority="19" dxfId="0">
      <formula>AND(C17&lt;&gt;"",ISNUMBER(C17),ABS(C17-Claves!$A$229)&lt;=0.00051)</formula>
    </cfRule>
    <cfRule type="expression" priority="20" dxfId="1">
      <formula>AND(C17&lt;&gt;"",OR(NOT(ISNUMBER(C17)),ABS(C17-Claves!$A$229)&gt;0.00051))</formula>
    </cfRule>
  </conditionalFormatting>
  <conditionalFormatting sqref="D17">
    <cfRule type="expression" priority="21" dxfId="0">
      <formula>AND(D17&lt;&gt;"",ISNUMBER(D17),ABS(D17-Claves!$A$230)&lt;=0.00051)</formula>
    </cfRule>
    <cfRule type="expression" priority="22" dxfId="1">
      <formula>AND(D17&lt;&gt;"",OR(NOT(ISNUMBER(D17)),ABS(D17-Claves!$A$230)&gt;0.00051))</formula>
    </cfRule>
  </conditionalFormatting>
  <conditionalFormatting sqref="E17">
    <cfRule type="expression" priority="23" dxfId="0">
      <formula>AND(E17&lt;&gt;"",ISNUMBER(E17),ABS(E17-Claves!$A$231)&lt;=0.00051)</formula>
    </cfRule>
    <cfRule type="expression" priority="24" dxfId="1">
      <formula>AND(E17&lt;&gt;"",OR(NOT(ISNUMBER(E17)),ABS(E17-Claves!$A$231)&gt;0.00051))</formula>
    </cfRule>
  </conditionalFormatting>
  <conditionalFormatting sqref="B22">
    <cfRule type="expression" priority="25" dxfId="0">
      <formula>AND(B22&lt;&gt;"",ISNUMBER(B22),ABS(B22-Claves!$A$232)&lt;=0.00051)</formula>
    </cfRule>
    <cfRule type="expression" priority="26" dxfId="1">
      <formula>AND(B22&lt;&gt;"",OR(NOT(ISNUMBER(B22)),ABS(B22-Claves!$A$232)&gt;0.00051))</formula>
    </cfRule>
  </conditionalFormatting>
  <conditionalFormatting sqref="C22">
    <cfRule type="expression" priority="27" dxfId="0">
      <formula>AND(C22&lt;&gt;"",ISNUMBER(C22),ABS(C22-Claves!$A$233)&lt;=0.00051)</formula>
    </cfRule>
    <cfRule type="expression" priority="28" dxfId="1">
      <formula>AND(C22&lt;&gt;"",OR(NOT(ISNUMBER(C22)),ABS(C22-Claves!$A$233)&gt;0.00051))</formula>
    </cfRule>
  </conditionalFormatting>
  <conditionalFormatting sqref="D22">
    <cfRule type="expression" priority="29" dxfId="0">
      <formula>AND(D22&lt;&gt;"",ISNUMBER(D22),ABS(D22-Claves!$A$234)&lt;=0.00051)</formula>
    </cfRule>
    <cfRule type="expression" priority="30" dxfId="1">
      <formula>AND(D22&lt;&gt;"",OR(NOT(ISNUMBER(D22)),ABS(D22-Claves!$A$234)&gt;0.00051))</formula>
    </cfRule>
  </conditionalFormatting>
  <conditionalFormatting sqref="B23">
    <cfRule type="expression" priority="31" dxfId="0">
      <formula>AND(B23&lt;&gt;"",ISNUMBER(B23),ABS(B23-Claves!$A$235)&lt;=0.00051)</formula>
    </cfRule>
    <cfRule type="expression" priority="32" dxfId="1">
      <formula>AND(B23&lt;&gt;"",OR(NOT(ISNUMBER(B23)),ABS(B23-Claves!$A$235)&gt;0.00051))</formula>
    </cfRule>
  </conditionalFormatting>
  <conditionalFormatting sqref="C23">
    <cfRule type="expression" priority="33" dxfId="0">
      <formula>AND(C23&lt;&gt;"",ISNUMBER(C23),ABS(C23-Claves!$A$236)&lt;=0.00051)</formula>
    </cfRule>
    <cfRule type="expression" priority="34" dxfId="1">
      <formula>AND(C23&lt;&gt;"",OR(NOT(ISNUMBER(C23)),ABS(C23-Claves!$A$236)&gt;0.00051))</formula>
    </cfRule>
  </conditionalFormatting>
  <conditionalFormatting sqref="D23">
    <cfRule type="expression" priority="35" dxfId="0">
      <formula>AND(D23&lt;&gt;"",ISNUMBER(D23),ABS(D23-Claves!$A$237)&lt;=0.00051)</formula>
    </cfRule>
    <cfRule type="expression" priority="36" dxfId="1">
      <formula>AND(D23&lt;&gt;"",OR(NOT(ISNUMBER(D23)),ABS(D23-Claves!$A$237)&gt;0.00051))</formula>
    </cfRule>
  </conditionalFormatting>
  <conditionalFormatting sqref="B24">
    <cfRule type="expression" priority="37" dxfId="0">
      <formula>AND(B24&lt;&gt;"",ISNUMBER(B24),ABS(B24-Claves!$A$238)&lt;=0.00051)</formula>
    </cfRule>
    <cfRule type="expression" priority="38" dxfId="1">
      <formula>AND(B24&lt;&gt;"",OR(NOT(ISNUMBER(B24)),ABS(B24-Claves!$A$238)&gt;0.00051))</formula>
    </cfRule>
  </conditionalFormatting>
  <conditionalFormatting sqref="C24">
    <cfRule type="expression" priority="39" dxfId="0">
      <formula>AND(C24&lt;&gt;"",ISNUMBER(C24),ABS(C24-Claves!$A$239)&lt;=0.00051)</formula>
    </cfRule>
    <cfRule type="expression" priority="40" dxfId="1">
      <formula>AND(C24&lt;&gt;"",OR(NOT(ISNUMBER(C24)),ABS(C24-Claves!$A$239)&gt;0.00051))</formula>
    </cfRule>
  </conditionalFormatting>
  <conditionalFormatting sqref="D24">
    <cfRule type="expression" priority="41" dxfId="0">
      <formula>AND(D24&lt;&gt;"",ISNUMBER(D24),ABS(D24-Claves!$A$240)&lt;=0.00051)</formula>
    </cfRule>
    <cfRule type="expression" priority="42" dxfId="1">
      <formula>AND(D24&lt;&gt;"",OR(NOT(ISNUMBER(D24)),ABS(D24-Claves!$A$240)&gt;0.00051))</formula>
    </cfRule>
  </conditionalFormatting>
  <conditionalFormatting sqref="B27">
    <cfRule type="expression" priority="43" dxfId="0">
      <formula>LEFT($C27,1)="✔"</formula>
    </cfRule>
    <cfRule type="expression" priority="44" dxfId="1">
      <formula>LEFT($C27,1)="✘"</formula>
    </cfRule>
  </conditionalFormatting>
  <conditionalFormatting sqref="C27:I27">
    <cfRule type="expression" priority="45" dxfId="2">
      <formula>LEFT($C27,1)="✔"</formula>
    </cfRule>
    <cfRule type="expression" priority="46" dxfId="3">
      <formula>LEFT($C27,1)="✘"</formula>
    </cfRule>
  </conditionalFormatting>
  <conditionalFormatting sqref="B28">
    <cfRule type="expression" priority="47" dxfId="0">
      <formula>LEFT($C28,1)="✔"</formula>
    </cfRule>
    <cfRule type="expression" priority="48" dxfId="1">
      <formula>LEFT($C28,1)="✘"</formula>
    </cfRule>
  </conditionalFormatting>
  <conditionalFormatting sqref="C28:I28">
    <cfRule type="expression" priority="49" dxfId="2">
      <formula>LEFT($C28,1)="✔"</formula>
    </cfRule>
    <cfRule type="expression" priority="50" dxfId="3">
      <formula>LEFT($C28,1)="✘"</formula>
    </cfRule>
  </conditionalFormatting>
  <conditionalFormatting sqref="B29">
    <cfRule type="expression" priority="51" dxfId="0">
      <formula>LEFT($C29,1)="✔"</formula>
    </cfRule>
    <cfRule type="expression" priority="52" dxfId="1">
      <formula>LEFT($C29,1)="✘"</formula>
    </cfRule>
  </conditionalFormatting>
  <conditionalFormatting sqref="C29:I29">
    <cfRule type="expression" priority="53" dxfId="2">
      <formula>LEFT($C29,1)="✔"</formula>
    </cfRule>
    <cfRule type="expression" priority="54" dxfId="3">
      <formula>LEFT($C29,1)="✘"</formula>
    </cfRule>
  </conditionalFormatting>
  <conditionalFormatting sqref="B30">
    <cfRule type="expression" priority="55" dxfId="0">
      <formula>LEFT($C30,1)="✔"</formula>
    </cfRule>
    <cfRule type="expression" priority="56" dxfId="1">
      <formula>LEFT($C30,1)="✘"</formula>
    </cfRule>
  </conditionalFormatting>
  <conditionalFormatting sqref="C30:I30">
    <cfRule type="expression" priority="57" dxfId="2">
      <formula>LEFT($C30,1)="✔"</formula>
    </cfRule>
    <cfRule type="expression" priority="58" dxfId="3">
      <formula>LEFT($C30,1)="✘"</formula>
    </cfRule>
  </conditionalFormatting>
  <conditionalFormatting sqref="B31">
    <cfRule type="expression" priority="59" dxfId="0">
      <formula>LEFT($C31,1)="✔"</formula>
    </cfRule>
    <cfRule type="expression" priority="60" dxfId="1">
      <formula>LEFT($C31,1)="✘"</formula>
    </cfRule>
  </conditionalFormatting>
  <conditionalFormatting sqref="C31:I31">
    <cfRule type="expression" priority="61" dxfId="2">
      <formula>LEFT($C31,1)="✔"</formula>
    </cfRule>
    <cfRule type="expression" priority="62" dxfId="3">
      <formula>LEFT($C31,1)="✘"</formula>
    </cfRule>
  </conditionalFormatting>
  <conditionalFormatting sqref="B32">
    <cfRule type="expression" priority="63" dxfId="0">
      <formula>LEFT($C32,1)="✔"</formula>
    </cfRule>
    <cfRule type="expression" priority="64" dxfId="1">
      <formula>LEFT($C32,1)="✘"</formula>
    </cfRule>
  </conditionalFormatting>
  <conditionalFormatting sqref="C32:I32">
    <cfRule type="expression" priority="65" dxfId="2">
      <formula>LEFT($C32,1)="✔"</formula>
    </cfRule>
    <cfRule type="expression" priority="66" dxfId="3">
      <formula>LEFT($C32,1)="✘"</formula>
    </cfRule>
  </conditionalFormatting>
  <conditionalFormatting sqref="B33">
    <cfRule type="expression" priority="67" dxfId="0">
      <formula>LEFT($C33,1)="✔"</formula>
    </cfRule>
    <cfRule type="expression" priority="68" dxfId="1">
      <formula>LEFT($C33,1)="✘"</formula>
    </cfRule>
  </conditionalFormatting>
  <conditionalFormatting sqref="C33:I33">
    <cfRule type="expression" priority="69" dxfId="2">
      <formula>LEFT($C33,1)="✔"</formula>
    </cfRule>
    <cfRule type="expression" priority="70" dxfId="3">
      <formula>LEFT($C33,1)="✘"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8A68"/>
    <outlinePr summaryBelow="1" summaryRight="1"/>
    <pageSetUpPr/>
  </sheetPr>
  <dimension ref="A1:I30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2" t="inlineStr">
        <is>
          <t>Tabla de doble entrada e independencia · Nivel 2 · Con cabeceras</t>
        </is>
      </c>
      <c r="B1" s="23" t="n"/>
      <c r="C1" s="23" t="n"/>
      <c r="D1" s="23" t="n"/>
      <c r="E1" s="23" t="n"/>
      <c r="F1" s="23" t="n"/>
      <c r="G1" s="23" t="n"/>
    </row>
    <row r="2">
      <c r="E2" s="8" t="inlineStr">
        <is>
          <t>Aciertos:</t>
        </is>
      </c>
      <c r="F2" s="9">
        <f>SUMPRODUCT(--(LEFT($C$1:$C$36,1)="✔"))</f>
        <v/>
      </c>
      <c r="G2" s="8" t="inlineStr">
        <is>
          <t>de 7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150 trabajadores según departamento (filas) y contrato (columnas).</t>
        </is>
      </c>
    </row>
    <row r="6">
      <c r="A6" s="15" t="inlineStr">
        <is>
          <t>Departamento \ Contrato</t>
        </is>
      </c>
      <c r="B6" s="15" t="inlineStr">
        <is>
          <t>Indefinido</t>
        </is>
      </c>
      <c r="C6" s="15" t="inlineStr">
        <is>
          <t>Temporal</t>
        </is>
      </c>
      <c r="D6" s="15" t="inlineStr">
        <is>
          <t>Parcial</t>
        </is>
      </c>
    </row>
    <row r="7">
      <c r="A7" s="21" t="inlineStr">
        <is>
          <t>RRHH</t>
        </is>
      </c>
      <c r="B7" s="12" t="n">
        <v>18</v>
      </c>
      <c r="C7" s="12" t="n">
        <v>6</v>
      </c>
      <c r="D7" s="12" t="n">
        <v>6</v>
      </c>
    </row>
    <row r="8">
      <c r="A8" s="21" t="inlineStr">
        <is>
          <t>Ventas</t>
        </is>
      </c>
      <c r="B8" s="12" t="n">
        <v>30</v>
      </c>
      <c r="C8" s="12" t="n">
        <v>10</v>
      </c>
      <c r="D8" s="12" t="n">
        <v>10</v>
      </c>
    </row>
    <row r="9">
      <c r="A9" s="21" t="inlineStr">
        <is>
          <t>Producción</t>
        </is>
      </c>
      <c r="B9" s="12" t="n">
        <v>42</v>
      </c>
      <c r="C9" s="12" t="n">
        <v>14</v>
      </c>
      <c r="D9" s="12" t="n">
        <v>14</v>
      </c>
    </row>
    <row r="10"/>
    <row r="11">
      <c r="A11" s="24" t="inlineStr">
        <is>
          <t>Paso 1 · Totales y frecuencias relativas fᵢⱼ = nᵢⱼ / n</t>
        </is>
      </c>
    </row>
    <row r="12">
      <c r="A12" s="15" t="inlineStr"/>
      <c r="B12" s="15" t="inlineStr">
        <is>
          <t>Total fila</t>
        </is>
      </c>
      <c r="C12" s="15" t="inlineStr">
        <is>
          <t>f · Indefinido</t>
        </is>
      </c>
      <c r="D12" s="15" t="inlineStr">
        <is>
          <t>f · Temporal</t>
        </is>
      </c>
      <c r="E12" s="15" t="inlineStr">
        <is>
          <t>f · Parcial</t>
        </is>
      </c>
    </row>
    <row r="13">
      <c r="A13" s="12" t="inlineStr">
        <is>
          <t>RRHH</t>
        </is>
      </c>
      <c r="B13" s="18" t="n"/>
      <c r="C13" s="18" t="n"/>
      <c r="D13" s="18" t="n"/>
      <c r="E13" s="18" t="n"/>
    </row>
    <row r="14">
      <c r="A14" s="12" t="inlineStr">
        <is>
          <t>Ventas</t>
        </is>
      </c>
      <c r="B14" s="18" t="n"/>
      <c r="C14" s="18" t="n"/>
      <c r="D14" s="18" t="n"/>
      <c r="E14" s="18" t="n"/>
    </row>
    <row r="15">
      <c r="A15" s="12" t="inlineStr">
        <is>
          <t>Producción</t>
        </is>
      </c>
      <c r="B15" s="18" t="n"/>
      <c r="C15" s="18" t="n"/>
      <c r="D15" s="18" t="n"/>
      <c r="E15" s="18" t="n"/>
    </row>
    <row r="16"/>
    <row r="17">
      <c r="A17" s="25" t="inlineStr">
        <is>
          <t>Ahora lo que habría si fueran independientes, fᵢ. × f.ⱼ:</t>
        </is>
      </c>
    </row>
    <row r="18">
      <c r="A18" s="15" t="inlineStr"/>
      <c r="B18" s="15" t="inlineStr">
        <is>
          <t>fᵢ.·f.ⱼ · Indefinido</t>
        </is>
      </c>
      <c r="C18" s="15" t="inlineStr">
        <is>
          <t>fᵢ.·f.ⱼ · Temporal</t>
        </is>
      </c>
      <c r="D18" s="15" t="inlineStr">
        <is>
          <t>fᵢ.·f.ⱼ · Parcial</t>
        </is>
      </c>
    </row>
    <row r="19">
      <c r="A19" s="12" t="inlineStr">
        <is>
          <t>RRHH</t>
        </is>
      </c>
      <c r="B19" s="18" t="n"/>
      <c r="C19" s="18" t="n"/>
      <c r="D19" s="18" t="n"/>
    </row>
    <row r="20">
      <c r="A20" s="12" t="inlineStr">
        <is>
          <t>Ventas</t>
        </is>
      </c>
      <c r="B20" s="18" t="n"/>
      <c r="C20" s="18" t="n"/>
      <c r="D20" s="18" t="n"/>
    </row>
    <row r="21">
      <c r="A21" s="12" t="inlineStr">
        <is>
          <t>Producción</t>
        </is>
      </c>
      <c r="B21" s="18" t="n"/>
      <c r="C21" s="18" t="n"/>
      <c r="D21" s="18" t="n"/>
    </row>
    <row r="22"/>
    <row r="23">
      <c r="A23" s="24" t="inlineStr">
        <is>
          <t>Preguntas</t>
        </is>
      </c>
    </row>
    <row r="24">
      <c r="A24" s="19" t="inlineStr">
        <is>
          <t>n (total)</t>
        </is>
      </c>
      <c r="B24" s="20" t="n"/>
      <c r="C24" s="19">
        <f>IF(B24="","",IF(AND(ISNUMBER(B24),ABS(B24-Claves!$A$269)&lt;=0.51),"✔ Bien",IF(NOT(ISNUMBER(B24)),"✘ Escribe solo el número (sin texto ni %).","✘ Revisa el cálculo.")))</f>
        <v/>
      </c>
    </row>
    <row r="25">
      <c r="A25" s="19" t="inlineStr">
        <is>
          <t>Distribución marginal: total de "Temporal"</t>
        </is>
      </c>
      <c r="B25" s="20" t="n"/>
      <c r="C25" s="19">
        <f>IF(B25="","",IF(AND(ISNUMBER(B25),ABS(B25-Claves!$A$270)&lt;=0.51),"✔ Bien",IF(NOT(ISNUMBER(B25)),"✘ Escribe solo el número (sin texto ni %).","✘ Revisa el cálculo.")))</f>
        <v/>
      </c>
    </row>
    <row r="26" ht="30" customHeight="1">
      <c r="A26" s="19" t="inlineStr">
        <is>
          <t>f₁₁ (proporción de RRHH y Indefinido, en decimal)</t>
        </is>
      </c>
      <c r="B26" s="20" t="n"/>
      <c r="C26" s="19">
        <f>IF(B26="","",IF(AND(ISNUMBER(B26),OR(ABS(B26-Claves!$A$271)&lt;=0.00051,ABS(B26/100-Claves!$A$271)&lt;=0.00051)),"✔ Bien",IF(NOT(ISNUMBER(B26)),"✘ Escribe solo el número (sin texto ni %).","✘ Revisa el cálculo.")))</f>
        <v/>
      </c>
    </row>
    <row r="27" ht="30" customHeight="1">
      <c r="A27" s="19" t="inlineStr">
        <is>
          <t>f₁. × f.₁ (lo que habría si fueran independientes)</t>
        </is>
      </c>
      <c r="B27" s="20" t="n"/>
      <c r="C27" s="19">
        <f>IF(B27="","",IF(AND(ISNUMBER(B27),OR(ABS(B27-Claves!$A$272)&lt;=0.00051,ABS(B27/100-Claves!$A$272)&lt;=0.00051)),"✔ Bien",IF(NOT(ISNUMBER(B27)),"✘ Escribe solo el número (sin texto ni %).","✘ Revisa el cálculo.")))</f>
        <v/>
      </c>
    </row>
    <row r="28" ht="30" customHeight="1">
      <c r="A28" s="19" t="inlineStr">
        <is>
          <t>De los de Producción, ¿qué proporción es "Parcial"? (Contrato | Departamento = Producción)</t>
        </is>
      </c>
      <c r="B28" s="20" t="n"/>
      <c r="C28" s="19">
        <f>IF(B28="","",IF(AND(ISNUMBER(B28),OR(ABS(B28-Claves!$A$273)&lt;=0.00051,ABS(B28/100-Claves!$A$273)&lt;=0.00051)),"✔ Bien",IF(NOT(ISNUMBER(B28)),"✘ Escribe solo el número (sin texto ni %).",IF(OR(ABS(B28-0.09333333333333334)&lt;=0.00051,ABS(B28/100-0.09333333333333334)&lt;=0.00051),"✘ En una condicionada se divide entre el total de la FILA, no entre n.",IF(OR(ABS(B28-0.4666666666666667)&lt;=0.00051,ABS(B28/100-0.4666666666666667)&lt;=0.00051),"✘ Eso es Departamento | Contrato: has dividido entre el total de la columna.","✘ Revisa el cálculo.")))))</f>
        <v/>
      </c>
    </row>
    <row r="29" ht="30" customHeight="1">
      <c r="A29" s="19" t="inlineStr">
        <is>
          <t>De los "Indefinido", ¿qué proporción es de Ventas? (Departamento | Contrato = Indefinido)</t>
        </is>
      </c>
      <c r="B29" s="20" t="n"/>
      <c r="C29" s="19">
        <f>IF(B29="","",IF(AND(ISNUMBER(B29),OR(ABS(B29-Claves!$A$274)&lt;=0.00051,ABS(B29/100-Claves!$A$274)&lt;=0.00051)),"✔ Bien",IF(NOT(ISNUMBER(B29)),"✘ Escribe solo el número (sin texto ni %).",IF(OR(ABS(B29-0.6)&lt;=0.0006,ABS(B29/100-0.6)&lt;=0.0006),"✘ Eso es la condicionada por fila. Aquí te restringes a la COLUMNA.",IF(OR(ABS(B29-0.2)&lt;=0.00051,ABS(B29/100-0.2)&lt;=0.00051),"✘ Divide entre el total de la columna, no entre n.","✘ Revisa el cálculo.")))))</f>
        <v/>
      </c>
    </row>
    <row r="30">
      <c r="A30" s="19" t="inlineStr">
        <is>
          <t>¿Son independientes? (Sí / No)</t>
        </is>
      </c>
      <c r="B30" s="20" t="n"/>
      <c r="C30" s="19">
        <f>IF(B30="","",IF(OR(UPPER(TRIM(B30))="SÍ",UPPER(TRIM(B30))="SI"),"✔ Bien",IF(UPPER(TRIM(B30))="NO","✘ Compara fᵢⱼ con fᵢ.×f.ⱼ en todas las casillas (o los % de cada fila).",IF(UPPER(TRIM(B30))="NO","✘ Compara fᵢⱼ con fᵢ.×f.ⱼ en todas las casillas (o los % de cada fila).","✘ Revisa la respuesta."))))</f>
        <v/>
      </c>
    </row>
  </sheetData>
  <mergeCells count="7">
    <mergeCell ref="C28:I28"/>
    <mergeCell ref="C26:I26"/>
    <mergeCell ref="C29:I29"/>
    <mergeCell ref="C24:I24"/>
    <mergeCell ref="C30:I30"/>
    <mergeCell ref="C25:I25"/>
    <mergeCell ref="C27:I27"/>
  </mergeCells>
  <conditionalFormatting sqref="B13">
    <cfRule type="expression" priority="1" dxfId="0">
      <formula>AND(B13&lt;&gt;"",ISNUMBER(B13),ABS(B13-Claves!$A$248)&lt;=0.51)</formula>
    </cfRule>
    <cfRule type="expression" priority="2" dxfId="1">
      <formula>AND(B13&lt;&gt;"",OR(NOT(ISNUMBER(B13)),ABS(B13-Claves!$A$248)&gt;0.51))</formula>
    </cfRule>
  </conditionalFormatting>
  <conditionalFormatting sqref="C13">
    <cfRule type="expression" priority="3" dxfId="0">
      <formula>AND(C13&lt;&gt;"",ISNUMBER(C13),ABS(C13-Claves!$A$249)&lt;=0.00051)</formula>
    </cfRule>
    <cfRule type="expression" priority="4" dxfId="1">
      <formula>AND(C13&lt;&gt;"",OR(NOT(ISNUMBER(C13)),ABS(C13-Claves!$A$249)&gt;0.00051))</formula>
    </cfRule>
  </conditionalFormatting>
  <conditionalFormatting sqref="D13">
    <cfRule type="expression" priority="5" dxfId="0">
      <formula>AND(D13&lt;&gt;"",ISNUMBER(D13),ABS(D13-Claves!$A$250)&lt;=0.00051)</formula>
    </cfRule>
    <cfRule type="expression" priority="6" dxfId="1">
      <formula>AND(D13&lt;&gt;"",OR(NOT(ISNUMBER(D13)),ABS(D13-Claves!$A$250)&gt;0.00051))</formula>
    </cfRule>
  </conditionalFormatting>
  <conditionalFormatting sqref="E13">
    <cfRule type="expression" priority="7" dxfId="0">
      <formula>AND(E13&lt;&gt;"",ISNUMBER(E13),ABS(E13-Claves!$A$251)&lt;=0.00051)</formula>
    </cfRule>
    <cfRule type="expression" priority="8" dxfId="1">
      <formula>AND(E13&lt;&gt;"",OR(NOT(ISNUMBER(E13)),ABS(E13-Claves!$A$251)&gt;0.00051))</formula>
    </cfRule>
  </conditionalFormatting>
  <conditionalFormatting sqref="B14">
    <cfRule type="expression" priority="9" dxfId="0">
      <formula>AND(B14&lt;&gt;"",ISNUMBER(B14),ABS(B14-Claves!$A$252)&lt;=0.51)</formula>
    </cfRule>
    <cfRule type="expression" priority="10" dxfId="1">
      <formula>AND(B14&lt;&gt;"",OR(NOT(ISNUMBER(B14)),ABS(B14-Claves!$A$252)&gt;0.51))</formula>
    </cfRule>
  </conditionalFormatting>
  <conditionalFormatting sqref="C14">
    <cfRule type="expression" priority="11" dxfId="0">
      <formula>AND(C14&lt;&gt;"",ISNUMBER(C14),ABS(C14-Claves!$A$253)&lt;=0.00051)</formula>
    </cfRule>
    <cfRule type="expression" priority="12" dxfId="1">
      <formula>AND(C14&lt;&gt;"",OR(NOT(ISNUMBER(C14)),ABS(C14-Claves!$A$253)&gt;0.00051))</formula>
    </cfRule>
  </conditionalFormatting>
  <conditionalFormatting sqref="D14">
    <cfRule type="expression" priority="13" dxfId="0">
      <formula>AND(D14&lt;&gt;"",ISNUMBER(D14),ABS(D14-Claves!$A$254)&lt;=0.00051)</formula>
    </cfRule>
    <cfRule type="expression" priority="14" dxfId="1">
      <formula>AND(D14&lt;&gt;"",OR(NOT(ISNUMBER(D14)),ABS(D14-Claves!$A$254)&gt;0.00051))</formula>
    </cfRule>
  </conditionalFormatting>
  <conditionalFormatting sqref="E14">
    <cfRule type="expression" priority="15" dxfId="0">
      <formula>AND(E14&lt;&gt;"",ISNUMBER(E14),ABS(E14-Claves!$A$255)&lt;=0.00051)</formula>
    </cfRule>
    <cfRule type="expression" priority="16" dxfId="1">
      <formula>AND(E14&lt;&gt;"",OR(NOT(ISNUMBER(E14)),ABS(E14-Claves!$A$255)&gt;0.00051))</formula>
    </cfRule>
  </conditionalFormatting>
  <conditionalFormatting sqref="B15">
    <cfRule type="expression" priority="17" dxfId="0">
      <formula>AND(B15&lt;&gt;"",ISNUMBER(B15),ABS(B15-Claves!$A$256)&lt;=0.51)</formula>
    </cfRule>
    <cfRule type="expression" priority="18" dxfId="1">
      <formula>AND(B15&lt;&gt;"",OR(NOT(ISNUMBER(B15)),ABS(B15-Claves!$A$256)&gt;0.51))</formula>
    </cfRule>
  </conditionalFormatting>
  <conditionalFormatting sqref="C15">
    <cfRule type="expression" priority="19" dxfId="0">
      <formula>AND(C15&lt;&gt;"",ISNUMBER(C15),ABS(C15-Claves!$A$257)&lt;=0.00051)</formula>
    </cfRule>
    <cfRule type="expression" priority="20" dxfId="1">
      <formula>AND(C15&lt;&gt;"",OR(NOT(ISNUMBER(C15)),ABS(C15-Claves!$A$257)&gt;0.00051))</formula>
    </cfRule>
  </conditionalFormatting>
  <conditionalFormatting sqref="D15">
    <cfRule type="expression" priority="21" dxfId="0">
      <formula>AND(D15&lt;&gt;"",ISNUMBER(D15),ABS(D15-Claves!$A$258)&lt;=0.00051)</formula>
    </cfRule>
    <cfRule type="expression" priority="22" dxfId="1">
      <formula>AND(D15&lt;&gt;"",OR(NOT(ISNUMBER(D15)),ABS(D15-Claves!$A$258)&gt;0.00051))</formula>
    </cfRule>
  </conditionalFormatting>
  <conditionalFormatting sqref="E15">
    <cfRule type="expression" priority="23" dxfId="0">
      <formula>AND(E15&lt;&gt;"",ISNUMBER(E15),ABS(E15-Claves!$A$259)&lt;=0.00051)</formula>
    </cfRule>
    <cfRule type="expression" priority="24" dxfId="1">
      <formula>AND(E15&lt;&gt;"",OR(NOT(ISNUMBER(E15)),ABS(E15-Claves!$A$259)&gt;0.00051))</formula>
    </cfRule>
  </conditionalFormatting>
  <conditionalFormatting sqref="B19">
    <cfRule type="expression" priority="25" dxfId="0">
      <formula>AND(B19&lt;&gt;"",ISNUMBER(B19),ABS(B19-Claves!$A$260)&lt;=0.00051)</formula>
    </cfRule>
    <cfRule type="expression" priority="26" dxfId="1">
      <formula>AND(B19&lt;&gt;"",OR(NOT(ISNUMBER(B19)),ABS(B19-Claves!$A$260)&gt;0.00051))</formula>
    </cfRule>
  </conditionalFormatting>
  <conditionalFormatting sqref="C19">
    <cfRule type="expression" priority="27" dxfId="0">
      <formula>AND(C19&lt;&gt;"",ISNUMBER(C19),ABS(C19-Claves!$A$261)&lt;=0.00051)</formula>
    </cfRule>
    <cfRule type="expression" priority="28" dxfId="1">
      <formula>AND(C19&lt;&gt;"",OR(NOT(ISNUMBER(C19)),ABS(C19-Claves!$A$261)&gt;0.00051))</formula>
    </cfRule>
  </conditionalFormatting>
  <conditionalFormatting sqref="D19">
    <cfRule type="expression" priority="29" dxfId="0">
      <formula>AND(D19&lt;&gt;"",ISNUMBER(D19),ABS(D19-Claves!$A$262)&lt;=0.00051)</formula>
    </cfRule>
    <cfRule type="expression" priority="30" dxfId="1">
      <formula>AND(D19&lt;&gt;"",OR(NOT(ISNUMBER(D19)),ABS(D19-Claves!$A$262)&gt;0.00051))</formula>
    </cfRule>
  </conditionalFormatting>
  <conditionalFormatting sqref="B20">
    <cfRule type="expression" priority="31" dxfId="0">
      <formula>AND(B20&lt;&gt;"",ISNUMBER(B20),ABS(B20-Claves!$A$263)&lt;=0.00051)</formula>
    </cfRule>
    <cfRule type="expression" priority="32" dxfId="1">
      <formula>AND(B20&lt;&gt;"",OR(NOT(ISNUMBER(B20)),ABS(B20-Claves!$A$263)&gt;0.00051))</formula>
    </cfRule>
  </conditionalFormatting>
  <conditionalFormatting sqref="C20">
    <cfRule type="expression" priority="33" dxfId="0">
      <formula>AND(C20&lt;&gt;"",ISNUMBER(C20),ABS(C20-Claves!$A$264)&lt;=0.00051)</formula>
    </cfRule>
    <cfRule type="expression" priority="34" dxfId="1">
      <formula>AND(C20&lt;&gt;"",OR(NOT(ISNUMBER(C20)),ABS(C20-Claves!$A$264)&gt;0.00051))</formula>
    </cfRule>
  </conditionalFormatting>
  <conditionalFormatting sqref="D20">
    <cfRule type="expression" priority="35" dxfId="0">
      <formula>AND(D20&lt;&gt;"",ISNUMBER(D20),ABS(D20-Claves!$A$265)&lt;=0.00051)</formula>
    </cfRule>
    <cfRule type="expression" priority="36" dxfId="1">
      <formula>AND(D20&lt;&gt;"",OR(NOT(ISNUMBER(D20)),ABS(D20-Claves!$A$265)&gt;0.00051))</formula>
    </cfRule>
  </conditionalFormatting>
  <conditionalFormatting sqref="B21">
    <cfRule type="expression" priority="37" dxfId="0">
      <formula>AND(B21&lt;&gt;"",ISNUMBER(B21),ABS(B21-Claves!$A$266)&lt;=0.00051)</formula>
    </cfRule>
    <cfRule type="expression" priority="38" dxfId="1">
      <formula>AND(B21&lt;&gt;"",OR(NOT(ISNUMBER(B21)),ABS(B21-Claves!$A$266)&gt;0.00051))</formula>
    </cfRule>
  </conditionalFormatting>
  <conditionalFormatting sqref="C21">
    <cfRule type="expression" priority="39" dxfId="0">
      <formula>AND(C21&lt;&gt;"",ISNUMBER(C21),ABS(C21-Claves!$A$267)&lt;=0.00051)</formula>
    </cfRule>
    <cfRule type="expression" priority="40" dxfId="1">
      <formula>AND(C21&lt;&gt;"",OR(NOT(ISNUMBER(C21)),ABS(C21-Claves!$A$267)&gt;0.00051))</formula>
    </cfRule>
  </conditionalFormatting>
  <conditionalFormatting sqref="D21">
    <cfRule type="expression" priority="41" dxfId="0">
      <formula>AND(D21&lt;&gt;"",ISNUMBER(D21),ABS(D21-Claves!$A$268)&lt;=0.00051)</formula>
    </cfRule>
    <cfRule type="expression" priority="42" dxfId="1">
      <formula>AND(D21&lt;&gt;"",OR(NOT(ISNUMBER(D21)),ABS(D21-Claves!$A$268)&gt;0.00051))</formula>
    </cfRule>
  </conditionalFormatting>
  <conditionalFormatting sqref="B24">
    <cfRule type="expression" priority="43" dxfId="0">
      <formula>LEFT($C24,1)="✔"</formula>
    </cfRule>
    <cfRule type="expression" priority="44" dxfId="1">
      <formula>LEFT($C24,1)="✘"</formula>
    </cfRule>
  </conditionalFormatting>
  <conditionalFormatting sqref="C24:I24">
    <cfRule type="expression" priority="45" dxfId="2">
      <formula>LEFT($C24,1)="✔"</formula>
    </cfRule>
    <cfRule type="expression" priority="46" dxfId="3">
      <formula>LEFT($C24,1)="✘"</formula>
    </cfRule>
  </conditionalFormatting>
  <conditionalFormatting sqref="B25">
    <cfRule type="expression" priority="47" dxfId="0">
      <formula>LEFT($C25,1)="✔"</formula>
    </cfRule>
    <cfRule type="expression" priority="48" dxfId="1">
      <formula>LEFT($C25,1)="✘"</formula>
    </cfRule>
  </conditionalFormatting>
  <conditionalFormatting sqref="C25:I25">
    <cfRule type="expression" priority="49" dxfId="2">
      <formula>LEFT($C25,1)="✔"</formula>
    </cfRule>
    <cfRule type="expression" priority="50" dxfId="3">
      <formula>LEFT($C25,1)="✘"</formula>
    </cfRule>
  </conditionalFormatting>
  <conditionalFormatting sqref="B26">
    <cfRule type="expression" priority="51" dxfId="0">
      <formula>LEFT($C26,1)="✔"</formula>
    </cfRule>
    <cfRule type="expression" priority="52" dxfId="1">
      <formula>LEFT($C26,1)="✘"</formula>
    </cfRule>
  </conditionalFormatting>
  <conditionalFormatting sqref="C26:I26">
    <cfRule type="expression" priority="53" dxfId="2">
      <formula>LEFT($C26,1)="✔"</formula>
    </cfRule>
    <cfRule type="expression" priority="54" dxfId="3">
      <formula>LEFT($C26,1)="✘"</formula>
    </cfRule>
  </conditionalFormatting>
  <conditionalFormatting sqref="B27">
    <cfRule type="expression" priority="55" dxfId="0">
      <formula>LEFT($C27,1)="✔"</formula>
    </cfRule>
    <cfRule type="expression" priority="56" dxfId="1">
      <formula>LEFT($C27,1)="✘"</formula>
    </cfRule>
  </conditionalFormatting>
  <conditionalFormatting sqref="C27:I27">
    <cfRule type="expression" priority="57" dxfId="2">
      <formula>LEFT($C27,1)="✔"</formula>
    </cfRule>
    <cfRule type="expression" priority="58" dxfId="3">
      <formula>LEFT($C27,1)="✘"</formula>
    </cfRule>
  </conditionalFormatting>
  <conditionalFormatting sqref="B28">
    <cfRule type="expression" priority="59" dxfId="0">
      <formula>LEFT($C28,1)="✔"</formula>
    </cfRule>
    <cfRule type="expression" priority="60" dxfId="1">
      <formula>LEFT($C28,1)="✘"</formula>
    </cfRule>
  </conditionalFormatting>
  <conditionalFormatting sqref="C28:I28">
    <cfRule type="expression" priority="61" dxfId="2">
      <formula>LEFT($C28,1)="✔"</formula>
    </cfRule>
    <cfRule type="expression" priority="62" dxfId="3">
      <formula>LEFT($C28,1)="✘"</formula>
    </cfRule>
  </conditionalFormatting>
  <conditionalFormatting sqref="B29">
    <cfRule type="expression" priority="63" dxfId="0">
      <formula>LEFT($C29,1)="✔"</formula>
    </cfRule>
    <cfRule type="expression" priority="64" dxfId="1">
      <formula>LEFT($C29,1)="✘"</formula>
    </cfRule>
  </conditionalFormatting>
  <conditionalFormatting sqref="C29:I29">
    <cfRule type="expression" priority="65" dxfId="2">
      <formula>LEFT($C29,1)="✔"</formula>
    </cfRule>
    <cfRule type="expression" priority="66" dxfId="3">
      <formula>LEFT($C29,1)="✘"</formula>
    </cfRule>
  </conditionalFormatting>
  <conditionalFormatting sqref="B30">
    <cfRule type="expression" priority="67" dxfId="0">
      <formula>LEFT($C30,1)="✔"</formula>
    </cfRule>
    <cfRule type="expression" priority="68" dxfId="1">
      <formula>LEFT($C30,1)="✘"</formula>
    </cfRule>
  </conditionalFormatting>
  <conditionalFormatting sqref="C30:I30">
    <cfRule type="expression" priority="69" dxfId="2">
      <formula>LEFT($C30,1)="✔"</formula>
    </cfRule>
    <cfRule type="expression" priority="70" dxfId="3">
      <formula>LEFT($C30,1)="✘"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F8A68"/>
    <outlinePr summaryBelow="1" summaryRight="1"/>
    <pageSetUpPr/>
  </sheetPr>
  <dimension ref="A1:I18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2" t="inlineStr">
        <is>
          <t>Tabla de doble entrada e independencia · Nivel 3 · Sin ayuda</t>
        </is>
      </c>
      <c r="B1" s="23" t="n"/>
      <c r="C1" s="23" t="n"/>
      <c r="D1" s="23" t="n"/>
      <c r="E1" s="23" t="n"/>
      <c r="F1" s="23" t="n"/>
      <c r="G1" s="23" t="n"/>
    </row>
    <row r="2">
      <c r="E2" s="8" t="inlineStr">
        <is>
          <t>Aciertos:</t>
        </is>
      </c>
      <c r="F2" s="9">
        <f>SUMPRODUCT(--(LEFT($C$1:$C$24,1)="✔"))</f>
        <v/>
      </c>
      <c r="G2" s="8" t="inlineStr">
        <is>
          <t>de 7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130 trabajadores según edad (filas) y modalidad (columnas).</t>
        </is>
      </c>
    </row>
    <row r="6">
      <c r="A6" s="15" t="inlineStr">
        <is>
          <t>Edad \ Modalidad</t>
        </is>
      </c>
      <c r="B6" s="15" t="inlineStr">
        <is>
          <t>Presencial</t>
        </is>
      </c>
      <c r="C6" s="15" t="inlineStr">
        <is>
          <t>Híbrido</t>
        </is>
      </c>
      <c r="D6" s="15" t="inlineStr">
        <is>
          <t>Remoto</t>
        </is>
      </c>
    </row>
    <row r="7">
      <c r="A7" s="21" t="inlineStr">
        <is>
          <t>18-30</t>
        </is>
      </c>
      <c r="B7" s="12" t="n">
        <v>10</v>
      </c>
      <c r="C7" s="12" t="n">
        <v>14</v>
      </c>
      <c r="D7" s="12" t="n">
        <v>16</v>
      </c>
    </row>
    <row r="8">
      <c r="A8" s="21" t="inlineStr">
        <is>
          <t>31-45</t>
        </is>
      </c>
      <c r="B8" s="12" t="n">
        <v>20</v>
      </c>
      <c r="C8" s="12" t="n">
        <v>18</v>
      </c>
      <c r="D8" s="12" t="n">
        <v>12</v>
      </c>
    </row>
    <row r="9">
      <c r="A9" s="21" t="inlineStr">
        <is>
          <t>46-65</t>
        </is>
      </c>
      <c r="B9" s="12" t="n">
        <v>28</v>
      </c>
      <c r="C9" s="12" t="n">
        <v>9</v>
      </c>
      <c r="D9" s="12" t="n">
        <v>3</v>
      </c>
    </row>
    <row r="10"/>
    <row r="11">
      <c r="A11" s="24" t="inlineStr">
        <is>
          <t>Preguntas</t>
        </is>
      </c>
    </row>
    <row r="12">
      <c r="A12" s="19" t="inlineStr">
        <is>
          <t>n (total)</t>
        </is>
      </c>
      <c r="B12" s="20" t="n"/>
      <c r="C12" s="19">
        <f>IF(B12="","",IF(AND(ISNUMBER(B12),ABS(B12-Claves!$A$276)&lt;=0.51),"✔ Bien",IF(NOT(ISNUMBER(B12)),"✘ Escribe solo el número (sin texto ni %).","✘ Revisa el cálculo.")))</f>
        <v/>
      </c>
    </row>
    <row r="13">
      <c r="A13" s="19" t="inlineStr">
        <is>
          <t>Distribución marginal: total de "Híbrido"</t>
        </is>
      </c>
      <c r="B13" s="20" t="n"/>
      <c r="C13" s="19">
        <f>IF(B13="","",IF(AND(ISNUMBER(B13),ABS(B13-Claves!$A$277)&lt;=0.51),"✔ Bien",IF(NOT(ISNUMBER(B13)),"✘ Escribe solo el número (sin texto ni %).","✘ Revisa el cálculo.")))</f>
        <v/>
      </c>
    </row>
    <row r="14" ht="30" customHeight="1">
      <c r="A14" s="19" t="inlineStr">
        <is>
          <t>f₁₁ (proporción de 18-30 y Presencial, en decimal)</t>
        </is>
      </c>
      <c r="B14" s="20" t="n"/>
      <c r="C14" s="19">
        <f>IF(B14="","",IF(AND(ISNUMBER(B14),OR(ABS(B14-Claves!$A$278)&lt;=0.00051,ABS(B14/100-Claves!$A$278)&lt;=0.00051)),"✔ Bien",IF(NOT(ISNUMBER(B14)),"✘ Escribe solo el número (sin texto ni %).","✘ Revisa el cálculo.")))</f>
        <v/>
      </c>
    </row>
    <row r="15" ht="30" customHeight="1">
      <c r="A15" s="19" t="inlineStr">
        <is>
          <t>f₁. × f.₁ (lo que habría si fueran independientes)</t>
        </is>
      </c>
      <c r="B15" s="20" t="n"/>
      <c r="C15" s="19">
        <f>IF(B15="","",IF(AND(ISNUMBER(B15),OR(ABS(B15-Claves!$A$279)&lt;=0.00051,ABS(B15/100-Claves!$A$279)&lt;=0.00051)),"✔ Bien",IF(NOT(ISNUMBER(B15)),"✘ Escribe solo el número (sin texto ni %).","✘ Revisa el cálculo.")))</f>
        <v/>
      </c>
    </row>
    <row r="16" ht="30" customHeight="1">
      <c r="A16" s="19" t="inlineStr">
        <is>
          <t>De los de 46-65, ¿qué proporción es "Remoto"? (Modalidad | Edad = 46-65)</t>
        </is>
      </c>
      <c r="B16" s="20" t="n"/>
      <c r="C16" s="19">
        <f>IF(B16="","",IF(AND(ISNUMBER(B16),OR(ABS(B16-Claves!$A$280)&lt;=0.00051,ABS(B16/100-Claves!$A$280)&lt;=0.00051)),"✔ Bien",IF(NOT(ISNUMBER(B16)),"✘ Escribe solo el número (sin texto ni %).",IF(OR(ABS(B16-0.023076923076923078)&lt;=0.00051,ABS(B16/100-0.023076923076923078)&lt;=0.00051),"✘ En una condicionada se divide entre el total de la FILA, no entre n.",IF(OR(ABS(B16-0.0967741935483871)&lt;=0.00051,ABS(B16/100-0.0967741935483871)&lt;=0.00051),"✘ Eso es Edad | Modalidad: has dividido entre el total de la columna.","✘ Revisa el cálculo.")))))</f>
        <v/>
      </c>
    </row>
    <row r="17" ht="30" customHeight="1">
      <c r="A17" s="19" t="inlineStr">
        <is>
          <t>De los "Presencial", ¿qué proporción es de 31-45? (Edad | Modalidad = Presencial)</t>
        </is>
      </c>
      <c r="B17" s="20" t="n"/>
      <c r="C17" s="19">
        <f>IF(B17="","",IF(AND(ISNUMBER(B17),OR(ABS(B17-Claves!$A$281)&lt;=0.00051,ABS(B17/100-Claves!$A$281)&lt;=0.00051)),"✔ Bien",IF(NOT(ISNUMBER(B17)),"✘ Escribe solo el número (sin texto ni %).",IF(OR(ABS(B17-0.4)&lt;=0.00051,ABS(B17/100-0.4)&lt;=0.00051),"✘ Eso es la condicionada por fila. Aquí te restringes a la COLUMNA.",IF(OR(ABS(B17-0.15384615384615385)&lt;=0.00051,ABS(B17/100-0.15384615384615385)&lt;=0.00051),"✘ Divide entre el total de la columna, no entre n.","✘ Revisa el cálculo.")))))</f>
        <v/>
      </c>
    </row>
    <row r="18">
      <c r="A18" s="19" t="inlineStr">
        <is>
          <t>¿Son independientes? (Sí / No)</t>
        </is>
      </c>
      <c r="B18" s="20" t="n"/>
      <c r="C18" s="19">
        <f>IF(B18="","",IF(OR(UPPER(TRIM(B18))="NO"),"✔ Bien",IF(UPPER(TRIM(B18))="SI","✘ Compara fᵢⱼ con fᵢ.×f.ⱼ en todas las casillas (o los % de cada fila).",IF(UPPER(TRIM(B18))="SÍ","✘ Compara fᵢⱼ con fᵢ.×f.ⱼ en todas las casillas (o los % de cada fila).","✘ Revisa la respuesta."))))</f>
        <v/>
      </c>
    </row>
  </sheetData>
  <mergeCells count="7">
    <mergeCell ref="C14:I14"/>
    <mergeCell ref="C13:I13"/>
    <mergeCell ref="C18:I18"/>
    <mergeCell ref="C17:I17"/>
    <mergeCell ref="C12:I12"/>
    <mergeCell ref="C16:I16"/>
    <mergeCell ref="C15:I15"/>
  </mergeCells>
  <conditionalFormatting sqref="B12">
    <cfRule type="expression" priority="1" dxfId="0">
      <formula>LEFT($C12,1)="✔"</formula>
    </cfRule>
    <cfRule type="expression" priority="2" dxfId="1">
      <formula>LEFT($C12,1)="✘"</formula>
    </cfRule>
  </conditionalFormatting>
  <conditionalFormatting sqref="C12:I12">
    <cfRule type="expression" priority="3" dxfId="2">
      <formula>LEFT($C12,1)="✔"</formula>
    </cfRule>
    <cfRule type="expression" priority="4" dxfId="3">
      <formula>LEFT($C12,1)="✘"</formula>
    </cfRule>
  </conditionalFormatting>
  <conditionalFormatting sqref="B13">
    <cfRule type="expression" priority="5" dxfId="0">
      <formula>LEFT($C13,1)="✔"</formula>
    </cfRule>
    <cfRule type="expression" priority="6" dxfId="1">
      <formula>LEFT($C13,1)="✘"</formula>
    </cfRule>
  </conditionalFormatting>
  <conditionalFormatting sqref="C13:I13">
    <cfRule type="expression" priority="7" dxfId="2">
      <formula>LEFT($C13,1)="✔"</formula>
    </cfRule>
    <cfRule type="expression" priority="8" dxfId="3">
      <formula>LEFT($C13,1)="✘"</formula>
    </cfRule>
  </conditionalFormatting>
  <conditionalFormatting sqref="B14">
    <cfRule type="expression" priority="9" dxfId="0">
      <formula>LEFT($C14,1)="✔"</formula>
    </cfRule>
    <cfRule type="expression" priority="10" dxfId="1">
      <formula>LEFT($C14,1)="✘"</formula>
    </cfRule>
  </conditionalFormatting>
  <conditionalFormatting sqref="C14:I14">
    <cfRule type="expression" priority="11" dxfId="2">
      <formula>LEFT($C14,1)="✔"</formula>
    </cfRule>
    <cfRule type="expression" priority="12" dxfId="3">
      <formula>LEFT($C14,1)="✘"</formula>
    </cfRule>
  </conditionalFormatting>
  <conditionalFormatting sqref="B15">
    <cfRule type="expression" priority="13" dxfId="0">
      <formula>LEFT($C15,1)="✔"</formula>
    </cfRule>
    <cfRule type="expression" priority="14" dxfId="1">
      <formula>LEFT($C15,1)="✘"</formula>
    </cfRule>
  </conditionalFormatting>
  <conditionalFormatting sqref="C15:I15">
    <cfRule type="expression" priority="15" dxfId="2">
      <formula>LEFT($C15,1)="✔"</formula>
    </cfRule>
    <cfRule type="expression" priority="16" dxfId="3">
      <formula>LEFT($C15,1)="✘"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conditionalFormatting sqref="B18">
    <cfRule type="expression" priority="25" dxfId="0">
      <formula>LEFT($C18,1)="✔"</formula>
    </cfRule>
    <cfRule type="expression" priority="26" dxfId="1">
      <formula>LEFT($C18,1)="✘"</formula>
    </cfRule>
  </conditionalFormatting>
  <conditionalFormatting sqref="C18:I18">
    <cfRule type="expression" priority="27" dxfId="2">
      <formula>LEFT($C18,1)="✔"</formula>
    </cfRule>
    <cfRule type="expression" priority="28" dxfId="3">
      <formula>LEFT($C18,1)="✘"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2185B"/>
    <outlinePr summaryBelow="1" summaryRight="1"/>
    <pageSetUpPr/>
  </sheetPr>
  <dimension ref="A1:I28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Regresión con datos · Nivel 1 · Con guía</t>
        </is>
      </c>
      <c r="B1" s="27" t="n"/>
      <c r="C1" s="27" t="n"/>
      <c r="D1" s="27" t="n"/>
      <c r="E1" s="27" t="n"/>
      <c r="F1" s="27" t="n"/>
      <c r="G1" s="27" t="n"/>
    </row>
    <row r="2">
      <c r="E2" s="8" t="inlineStr">
        <is>
          <t>Aciertos:</t>
        </is>
      </c>
      <c r="F2" s="9">
        <f>SUMPRODUCT(--(LEFT($C$1:$C$34,1)="✔"))</f>
        <v/>
      </c>
      <c r="G2" s="8" t="inlineStr">
        <is>
          <t>de 9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Años de experiencia (X) y Salario (cientos de €) (Y) de 8 casos.</t>
        </is>
      </c>
    </row>
    <row r="6">
      <c r="A6" s="28" t="inlineStr">
        <is>
          <t>Paso 1 · Tabla de trabajo</t>
        </is>
      </c>
    </row>
    <row r="7">
      <c r="A7" s="14" t="inlineStr">
        <is>
          <t>💡 Covarianza = Σxy/n − x̄·ȳ. Pendiente b = Sxy / Sx². Comprueba con PENDIENTE(Y;X) y con la línea de tendencia del gráfico.</t>
        </is>
      </c>
    </row>
    <row r="8">
      <c r="A8" s="15" t="inlineStr">
        <is>
          <t>X</t>
        </is>
      </c>
      <c r="B8" s="15" t="inlineStr">
        <is>
          <t>Y</t>
        </is>
      </c>
      <c r="C8" s="15" t="inlineStr">
        <is>
          <t>X·Y</t>
        </is>
      </c>
      <c r="D8" s="15" t="inlineStr">
        <is>
          <t>X²</t>
        </is>
      </c>
      <c r="E8" s="15" t="inlineStr">
        <is>
          <t>Y²</t>
        </is>
      </c>
    </row>
    <row r="9" ht="30" customHeight="1">
      <c r="A9" s="16" t="inlineStr">
        <is>
          <t>Pista →</t>
        </is>
      </c>
      <c r="C9" s="17" t="inlineStr">
        <is>
          <t>ej. =X*Y</t>
        </is>
      </c>
      <c r="D9" s="17" t="inlineStr">
        <is>
          <t>ej. =X^2</t>
        </is>
      </c>
      <c r="E9" s="17" t="inlineStr">
        <is>
          <t>ej. =Y^2</t>
        </is>
      </c>
    </row>
    <row r="10">
      <c r="A10" s="12" t="n">
        <v>2</v>
      </c>
      <c r="B10" s="12" t="n">
        <v>11.3</v>
      </c>
      <c r="C10" s="18" t="n"/>
      <c r="D10" s="18" t="n"/>
      <c r="E10" s="18" t="n"/>
    </row>
    <row r="11">
      <c r="A11" s="12" t="n">
        <v>4</v>
      </c>
      <c r="B11" s="12" t="n">
        <v>14.9</v>
      </c>
      <c r="C11" s="18" t="n"/>
      <c r="D11" s="18" t="n"/>
      <c r="E11" s="18" t="n"/>
    </row>
    <row r="12">
      <c r="A12" s="12" t="n">
        <v>5</v>
      </c>
      <c r="B12" s="12" t="n">
        <v>25.5</v>
      </c>
      <c r="C12" s="18" t="n"/>
      <c r="D12" s="18" t="n"/>
      <c r="E12" s="18" t="n"/>
    </row>
    <row r="13">
      <c r="A13" s="12" t="n">
        <v>7</v>
      </c>
      <c r="B13" s="12" t="n">
        <v>43.7</v>
      </c>
      <c r="C13" s="18" t="n"/>
      <c r="D13" s="18" t="n"/>
      <c r="E13" s="18" t="n"/>
    </row>
    <row r="14">
      <c r="A14" s="12" t="n">
        <v>8</v>
      </c>
      <c r="B14" s="12" t="n">
        <v>26.9</v>
      </c>
      <c r="C14" s="18" t="n"/>
      <c r="D14" s="18" t="n"/>
      <c r="E14" s="18" t="n"/>
    </row>
    <row r="15">
      <c r="A15" s="12" t="n">
        <v>10</v>
      </c>
      <c r="B15" s="12" t="n">
        <v>21.8</v>
      </c>
      <c r="C15" s="18" t="n"/>
      <c r="D15" s="18" t="n"/>
      <c r="E15" s="18" t="n"/>
    </row>
    <row r="16">
      <c r="A16" s="12" t="n">
        <v>12</v>
      </c>
      <c r="B16" s="12" t="n">
        <v>29.6</v>
      </c>
      <c r="C16" s="18" t="n"/>
      <c r="D16" s="18" t="n"/>
      <c r="E16" s="18" t="n"/>
    </row>
    <row r="17">
      <c r="A17" s="12" t="n">
        <v>15</v>
      </c>
      <c r="B17" s="12" t="n">
        <v>66.8</v>
      </c>
      <c r="C17" s="18" t="n"/>
      <c r="D17" s="18" t="n"/>
      <c r="E17" s="18" t="n"/>
    </row>
    <row r="18"/>
    <row r="19">
      <c r="A19" s="28" t="inlineStr">
        <is>
          <t>Preguntas</t>
        </is>
      </c>
    </row>
    <row r="20">
      <c r="A20" s="19" t="inlineStr">
        <is>
          <t>Media de X</t>
        </is>
      </c>
      <c r="B20" s="20" t="n"/>
      <c r="C20" s="19">
        <f>IF(B20="","",IF(AND(ISNUMBER(B20),ABS(B20-Claves!$A$307)&lt;=0.007875),"✔ Bien",IF(NOT(ISNUMBER(B20)),"✘ Escribe solo el número (sin texto ni %).","✘ Revisa el cálculo.")))</f>
        <v/>
      </c>
    </row>
    <row r="21">
      <c r="A21" s="19" t="inlineStr">
        <is>
          <t>Media de Y</t>
        </is>
      </c>
      <c r="B21" s="20" t="n"/>
      <c r="C21" s="19">
        <f>IF(B21="","",IF(AND(ISNUMBER(B21),ABS(B21-Claves!$A$308)&lt;=0.030062500000000006),"✔ Bien",IF(NOT(ISNUMBER(B21)),"✘ Escribe solo el número (sin texto ni %).","✘ Revisa el cálculo.")))</f>
        <v/>
      </c>
    </row>
    <row r="22">
      <c r="A22" s="19" t="inlineStr">
        <is>
          <t>Covarianza</t>
        </is>
      </c>
      <c r="B22" s="20" t="n"/>
      <c r="C22" s="19">
        <f>IF(B22="","",IF(AND(ISNUMBER(B22),ABS(B22-Claves!$A$309)&lt;=0.05150781249999997),"✔ Bien",IF(NOT(ISNUMBER(B22)),"✘ Escribe solo el número (sin texto ni %).",IF(ABS(B22-58.866071428571395)&lt;=0.0588660714285714,"✘ Has usado COVARIANZA.M (divide entre n−1). En clase se usa COVARIANZA.P.","✘ Revisa el cálculo."))))</f>
        <v/>
      </c>
    </row>
    <row r="23">
      <c r="A23" s="19" t="inlineStr">
        <is>
          <t>Pendiente b (recta de Y sobre X)</t>
        </is>
      </c>
      <c r="B23" s="20" t="n"/>
      <c r="C23" s="19">
        <f>IF(B23="","",IF(AND(ISNUMBER(B23),ABS(B23-Claves!$A$310)&lt;=0.0031485195797516696),"✔ Bien",IF(NOT(ISNUMBER(B23)),"✘ Escribe solo el número (sin texto ni %).",IF(ABS(B23-0.18587675015379293)&lt;=0.00051,"✘ Esa es la pendiente de X sobre Y. En PENDIENTE va primero la Y: =PENDIENTE(Y;X).",IF(ABS(B23-12.734730313847548)&lt;=0.012734730313847548,"✘ b = Sxy / Sx² (la VARIANZA de X, no la desviación).","✘ Revisa el cálculo.")))))</f>
        <v/>
      </c>
    </row>
    <row r="24">
      <c r="A24" s="19" t="inlineStr">
        <is>
          <t>Término independiente a</t>
        </is>
      </c>
      <c r="B24" s="20" t="n"/>
      <c r="C24" s="19">
        <f>IF(B24="","",IF(AND(ISNUMBER(B24),ABS(B24-Claves!$A$311)&lt;=0.005267908309455606),"✔ Bien",IF(NOT(ISNUMBER(B24)),"✘ Escribe solo el número (sin texto ni %).",IF(ABS(B24-2.2870801985015996)&lt;=0.0051,"✘ Ese es el de la recta de X sobre Y. Usa =INTERSECCION.EJE(Y;X).","✘ Revisa el cálculo."))))</f>
        <v/>
      </c>
    </row>
    <row r="25">
      <c r="A25" s="19" t="inlineStr">
        <is>
          <t>Coeficiente de correlación r</t>
        </is>
      </c>
      <c r="B25" s="20" t="n"/>
      <c r="C25" s="19">
        <f>IF(B25="","",IF(AND(ISNUMBER(B25),ABS(B25-Claves!$A$312)&lt;=0.0007650075733480199),"✔ Bien",IF(NOT(ISNUMBER(B25)),"✘ Escribe solo el número (sin texto ni %).",IF(ABS(B25-0.5852365872798261)&lt;=0.000585236587279826,"✘ Eso es R². r es la raíz (con el signo de b).","✘ Revisa el cálculo."))))</f>
        <v/>
      </c>
    </row>
    <row r="26">
      <c r="A26" s="19" t="inlineStr">
        <is>
          <t>Coeficiente de determinación R² (decimal)</t>
        </is>
      </c>
      <c r="B26" s="20" t="n"/>
      <c r="C26" s="19">
        <f>IF(B26="","",IF(AND(ISNUMBER(B26),OR(ABS(B26-Claves!$A$313)&lt;=0.000585236587279826,ABS(B26/100-Claves!$A$313)&lt;=0.000585236587279826)),"✔ Bien",IF(NOT(ISNUMBER(B26)),"✘ Escribe solo el número (sin texto ni %).",IF(OR(ABS(B26-0.7650075733480199)&lt;=0.0007650075733480199,ABS(B26/100-0.7650075733480199)&lt;=0.0007650075733480199),"✘ Eso es r. R² es r al cuadrado.","✘ Revisa el cálculo."))))</f>
        <v/>
      </c>
    </row>
    <row r="27">
      <c r="A27" s="19" t="inlineStr">
        <is>
          <t>Predicción de Y para X = 3</t>
        </is>
      </c>
      <c r="B27" s="20" t="n"/>
      <c r="C27" s="19">
        <f>IF(B27="","",IF(AND(ISNUMBER(B27),ABS(B27-Claves!$A$314)&lt;=0.014713467048710616),"✔ Bien",IF(NOT(ISNUMBER(B27)),"✘ Escribe solo el número (sin texto ni %).",IF(ABS(B27-2.8447104489629784)&lt;=0.0051,"✘ Has usado la recta de X sobre Y.","✘ Revisa el cálculo."))))</f>
        <v/>
      </c>
    </row>
    <row r="28" ht="30" customHeight="1">
      <c r="A28" s="19" t="inlineStr">
        <is>
          <t>% de la variabilidad de Y que NO explica la recta</t>
        </is>
      </c>
      <c r="B28" s="20" t="n"/>
      <c r="C28" s="19">
        <f>IF(B28="","",IF(AND(ISNUMBER(B28),OR(ABS(B28-Claves!$A$315)&lt;=0.00051,ABS(B28/100-Claves!$A$315)&lt;=0.00051)),"✔ Bien",IF(NOT(ISNUMBER(B28)),"✘ Escribe solo el número (sin texto ni %).",IF(OR(ABS(B28-0.5852365872798261)&lt;=0.000585236587279826,ABS(B28/100-0.5852365872798261)&lt;=0.000585236587279826),"✘ Ese es el % que SÍ explica (R²). El no explicado es 1 − R².","✘ Revisa el cálculo."))))</f>
        <v/>
      </c>
    </row>
  </sheetData>
  <mergeCells count="9">
    <mergeCell ref="C28:I28"/>
    <mergeCell ref="C23:I23"/>
    <mergeCell ref="C22:I22"/>
    <mergeCell ref="C26:I26"/>
    <mergeCell ref="C21:I21"/>
    <mergeCell ref="C20:I20"/>
    <mergeCell ref="C24:I24"/>
    <mergeCell ref="C25:I25"/>
    <mergeCell ref="C27:I27"/>
  </mergeCells>
  <conditionalFormatting sqref="C10">
    <cfRule type="expression" priority="1" dxfId="0">
      <formula>AND(C10&lt;&gt;"",ISNUMBER(C10),ABS(C10-Claves!$A$283)&lt;=0.051000000000000004)</formula>
    </cfRule>
    <cfRule type="expression" priority="2" dxfId="1">
      <formula>AND(C10&lt;&gt;"",OR(NOT(ISNUMBER(C10)),ABS(C10-Claves!$A$283)&gt;0.051000000000000004))</formula>
    </cfRule>
  </conditionalFormatting>
  <conditionalFormatting sqref="D10">
    <cfRule type="expression" priority="3" dxfId="0">
      <formula>AND(D10&lt;&gt;"",ISNUMBER(D10),ABS(D10-Claves!$A$284)&lt;=0.051000000000000004)</formula>
    </cfRule>
    <cfRule type="expression" priority="4" dxfId="1">
      <formula>AND(D10&lt;&gt;"",OR(NOT(ISNUMBER(D10)),ABS(D10-Claves!$A$284)&gt;0.051000000000000004))</formula>
    </cfRule>
  </conditionalFormatting>
  <conditionalFormatting sqref="E10">
    <cfRule type="expression" priority="5" dxfId="0">
      <formula>AND(E10&lt;&gt;"",ISNUMBER(E10),ABS(E10-Claves!$A$285)&lt;=0.12769000000000003)</formula>
    </cfRule>
    <cfRule type="expression" priority="6" dxfId="1">
      <formula>AND(E10&lt;&gt;"",OR(NOT(ISNUMBER(E10)),ABS(E10-Claves!$A$285)&gt;0.12769000000000003))</formula>
    </cfRule>
  </conditionalFormatting>
  <conditionalFormatting sqref="C11">
    <cfRule type="expression" priority="7" dxfId="0">
      <formula>AND(C11&lt;&gt;"",ISNUMBER(C11),ABS(C11-Claves!$A$286)&lt;=0.0596)</formula>
    </cfRule>
    <cfRule type="expression" priority="8" dxfId="1">
      <formula>AND(C11&lt;&gt;"",OR(NOT(ISNUMBER(C11)),ABS(C11-Claves!$A$286)&gt;0.0596))</formula>
    </cfRule>
  </conditionalFormatting>
  <conditionalFormatting sqref="D11">
    <cfRule type="expression" priority="9" dxfId="0">
      <formula>AND(D11&lt;&gt;"",ISNUMBER(D11),ABS(D11-Claves!$A$287)&lt;=0.051000000000000004)</formula>
    </cfRule>
    <cfRule type="expression" priority="10" dxfId="1">
      <formula>AND(D11&lt;&gt;"",OR(NOT(ISNUMBER(D11)),ABS(D11-Claves!$A$287)&gt;0.051000000000000004))</formula>
    </cfRule>
  </conditionalFormatting>
  <conditionalFormatting sqref="E11">
    <cfRule type="expression" priority="11" dxfId="0">
      <formula>AND(E11&lt;&gt;"",ISNUMBER(E11),ABS(E11-Claves!$A$288)&lt;=0.22201)</formula>
    </cfRule>
    <cfRule type="expression" priority="12" dxfId="1">
      <formula>AND(E11&lt;&gt;"",OR(NOT(ISNUMBER(E11)),ABS(E11-Claves!$A$288)&gt;0.22201))</formula>
    </cfRule>
  </conditionalFormatting>
  <conditionalFormatting sqref="C12">
    <cfRule type="expression" priority="13" dxfId="0">
      <formula>AND(C12&lt;&gt;"",ISNUMBER(C12),ABS(C12-Claves!$A$289)&lt;=0.1275)</formula>
    </cfRule>
    <cfRule type="expression" priority="14" dxfId="1">
      <formula>AND(C12&lt;&gt;"",OR(NOT(ISNUMBER(C12)),ABS(C12-Claves!$A$289)&gt;0.1275))</formula>
    </cfRule>
  </conditionalFormatting>
  <conditionalFormatting sqref="D12">
    <cfRule type="expression" priority="15" dxfId="0">
      <formula>AND(D12&lt;&gt;"",ISNUMBER(D12),ABS(D12-Claves!$A$290)&lt;=0.051000000000000004)</formula>
    </cfRule>
    <cfRule type="expression" priority="16" dxfId="1">
      <formula>AND(D12&lt;&gt;"",OR(NOT(ISNUMBER(D12)),ABS(D12-Claves!$A$290)&gt;0.051000000000000004))</formula>
    </cfRule>
  </conditionalFormatting>
  <conditionalFormatting sqref="E12">
    <cfRule type="expression" priority="17" dxfId="0">
      <formula>AND(E12&lt;&gt;"",ISNUMBER(E12),ABS(E12-Claves!$A$291)&lt;=0.65025)</formula>
    </cfRule>
    <cfRule type="expression" priority="18" dxfId="1">
      <formula>AND(E12&lt;&gt;"",OR(NOT(ISNUMBER(E12)),ABS(E12-Claves!$A$291)&gt;0.65025))</formula>
    </cfRule>
  </conditionalFormatting>
  <conditionalFormatting sqref="C13">
    <cfRule type="expression" priority="19" dxfId="0">
      <formula>AND(C13&lt;&gt;"",ISNUMBER(C13),ABS(C13-Claves!$A$292)&lt;=0.30590000000000006)</formula>
    </cfRule>
    <cfRule type="expression" priority="20" dxfId="1">
      <formula>AND(C13&lt;&gt;"",OR(NOT(ISNUMBER(C13)),ABS(C13-Claves!$A$292)&gt;0.30590000000000006))</formula>
    </cfRule>
  </conditionalFormatting>
  <conditionalFormatting sqref="D13">
    <cfRule type="expression" priority="21" dxfId="0">
      <formula>AND(D13&lt;&gt;"",ISNUMBER(D13),ABS(D13-Claves!$A$293)&lt;=0.051000000000000004)</formula>
    </cfRule>
    <cfRule type="expression" priority="22" dxfId="1">
      <formula>AND(D13&lt;&gt;"",OR(NOT(ISNUMBER(D13)),ABS(D13-Claves!$A$293)&gt;0.051000000000000004))</formula>
    </cfRule>
  </conditionalFormatting>
  <conditionalFormatting sqref="E13">
    <cfRule type="expression" priority="23" dxfId="0">
      <formula>AND(E13&lt;&gt;"",ISNUMBER(E13),ABS(E13-Claves!$A$294)&lt;=1.9096900000000003)</formula>
    </cfRule>
    <cfRule type="expression" priority="24" dxfId="1">
      <formula>AND(E13&lt;&gt;"",OR(NOT(ISNUMBER(E13)),ABS(E13-Claves!$A$294)&gt;1.9096900000000003))</formula>
    </cfRule>
  </conditionalFormatting>
  <conditionalFormatting sqref="C14">
    <cfRule type="expression" priority="25" dxfId="0">
      <formula>AND(C14&lt;&gt;"",ISNUMBER(C14),ABS(C14-Claves!$A$295)&lt;=0.2152)</formula>
    </cfRule>
    <cfRule type="expression" priority="26" dxfId="1">
      <formula>AND(C14&lt;&gt;"",OR(NOT(ISNUMBER(C14)),ABS(C14-Claves!$A$295)&gt;0.2152))</formula>
    </cfRule>
  </conditionalFormatting>
  <conditionalFormatting sqref="D14">
    <cfRule type="expression" priority="27" dxfId="0">
      <formula>AND(D14&lt;&gt;"",ISNUMBER(D14),ABS(D14-Claves!$A$296)&lt;=0.064)</formula>
    </cfRule>
    <cfRule type="expression" priority="28" dxfId="1">
      <formula>AND(D14&lt;&gt;"",OR(NOT(ISNUMBER(D14)),ABS(D14-Claves!$A$296)&gt;0.064))</formula>
    </cfRule>
  </conditionalFormatting>
  <conditionalFormatting sqref="E14">
    <cfRule type="expression" priority="29" dxfId="0">
      <formula>AND(E14&lt;&gt;"",ISNUMBER(E14),ABS(E14-Claves!$A$297)&lt;=0.7236099999999999)</formula>
    </cfRule>
    <cfRule type="expression" priority="30" dxfId="1">
      <formula>AND(E14&lt;&gt;"",OR(NOT(ISNUMBER(E14)),ABS(E14-Claves!$A$297)&gt;0.7236099999999999))</formula>
    </cfRule>
  </conditionalFormatting>
  <conditionalFormatting sqref="C15">
    <cfRule type="expression" priority="31" dxfId="0">
      <formula>AND(C15&lt;&gt;"",ISNUMBER(C15),ABS(C15-Claves!$A$298)&lt;=0.218)</formula>
    </cfRule>
    <cfRule type="expression" priority="32" dxfId="1">
      <formula>AND(C15&lt;&gt;"",OR(NOT(ISNUMBER(C15)),ABS(C15-Claves!$A$298)&gt;0.218))</formula>
    </cfRule>
  </conditionalFormatting>
  <conditionalFormatting sqref="D15">
    <cfRule type="expression" priority="33" dxfId="0">
      <formula>AND(D15&lt;&gt;"",ISNUMBER(D15),ABS(D15-Claves!$A$299)&lt;=0.1)</formula>
    </cfRule>
    <cfRule type="expression" priority="34" dxfId="1">
      <formula>AND(D15&lt;&gt;"",OR(NOT(ISNUMBER(D15)),ABS(D15-Claves!$A$299)&gt;0.1))</formula>
    </cfRule>
  </conditionalFormatting>
  <conditionalFormatting sqref="E15">
    <cfRule type="expression" priority="35" dxfId="0">
      <formula>AND(E15&lt;&gt;"",ISNUMBER(E15),ABS(E15-Claves!$A$300)&lt;=0.47524)</formula>
    </cfRule>
    <cfRule type="expression" priority="36" dxfId="1">
      <formula>AND(E15&lt;&gt;"",OR(NOT(ISNUMBER(E15)),ABS(E15-Claves!$A$300)&gt;0.47524))</formula>
    </cfRule>
  </conditionalFormatting>
  <conditionalFormatting sqref="C16">
    <cfRule type="expression" priority="37" dxfId="0">
      <formula>AND(C16&lt;&gt;"",ISNUMBER(C16),ABS(C16-Claves!$A$301)&lt;=0.35520000000000007)</formula>
    </cfRule>
    <cfRule type="expression" priority="38" dxfId="1">
      <formula>AND(C16&lt;&gt;"",OR(NOT(ISNUMBER(C16)),ABS(C16-Claves!$A$301)&gt;0.35520000000000007))</formula>
    </cfRule>
  </conditionalFormatting>
  <conditionalFormatting sqref="D16">
    <cfRule type="expression" priority="39" dxfId="0">
      <formula>AND(D16&lt;&gt;"",ISNUMBER(D16),ABS(D16-Claves!$A$302)&lt;=0.14400000000000002)</formula>
    </cfRule>
    <cfRule type="expression" priority="40" dxfId="1">
      <formula>AND(D16&lt;&gt;"",OR(NOT(ISNUMBER(D16)),ABS(D16-Claves!$A$302)&gt;0.14400000000000002))</formula>
    </cfRule>
  </conditionalFormatting>
  <conditionalFormatting sqref="E16">
    <cfRule type="expression" priority="41" dxfId="0">
      <formula>AND(E16&lt;&gt;"",ISNUMBER(E16),ABS(E16-Claves!$A$303)&lt;=0.87616)</formula>
    </cfRule>
    <cfRule type="expression" priority="42" dxfId="1">
      <formula>AND(E16&lt;&gt;"",OR(NOT(ISNUMBER(E16)),ABS(E16-Claves!$A$303)&gt;0.87616))</formula>
    </cfRule>
  </conditionalFormatting>
  <conditionalFormatting sqref="C17">
    <cfRule type="expression" priority="43" dxfId="0">
      <formula>AND(C17&lt;&gt;"",ISNUMBER(C17),ABS(C17-Claves!$A$304)&lt;=1.002)</formula>
    </cfRule>
    <cfRule type="expression" priority="44" dxfId="1">
      <formula>AND(C17&lt;&gt;"",OR(NOT(ISNUMBER(C17)),ABS(C17-Claves!$A$304)&gt;1.002))</formula>
    </cfRule>
  </conditionalFormatting>
  <conditionalFormatting sqref="D17">
    <cfRule type="expression" priority="45" dxfId="0">
      <formula>AND(D17&lt;&gt;"",ISNUMBER(D17),ABS(D17-Claves!$A$305)&lt;=0.225)</formula>
    </cfRule>
    <cfRule type="expression" priority="46" dxfId="1">
      <formula>AND(D17&lt;&gt;"",OR(NOT(ISNUMBER(D17)),ABS(D17-Claves!$A$305)&gt;0.225))</formula>
    </cfRule>
  </conditionalFormatting>
  <conditionalFormatting sqref="E17">
    <cfRule type="expression" priority="47" dxfId="0">
      <formula>AND(E17&lt;&gt;"",ISNUMBER(E17),ABS(E17-Claves!$A$306)&lt;=4.4622399999999995)</formula>
    </cfRule>
    <cfRule type="expression" priority="48" dxfId="1">
      <formula>AND(E17&lt;&gt;"",OR(NOT(ISNUMBER(E17)),ABS(E17-Claves!$A$306)&gt;4.4622399999999995))</formula>
    </cfRule>
  </conditionalFormatting>
  <conditionalFormatting sqref="B20">
    <cfRule type="expression" priority="49" dxfId="0">
      <formula>LEFT($C20,1)="✔"</formula>
    </cfRule>
    <cfRule type="expression" priority="50" dxfId="1">
      <formula>LEFT($C20,1)="✘"</formula>
    </cfRule>
  </conditionalFormatting>
  <conditionalFormatting sqref="C20:I20">
    <cfRule type="expression" priority="51" dxfId="2">
      <formula>LEFT($C20,1)="✔"</formula>
    </cfRule>
    <cfRule type="expression" priority="52" dxfId="3">
      <formula>LEFT($C20,1)="✘"</formula>
    </cfRule>
  </conditionalFormatting>
  <conditionalFormatting sqref="B21">
    <cfRule type="expression" priority="53" dxfId="0">
      <formula>LEFT($C21,1)="✔"</formula>
    </cfRule>
    <cfRule type="expression" priority="54" dxfId="1">
      <formula>LEFT($C21,1)="✘"</formula>
    </cfRule>
  </conditionalFormatting>
  <conditionalFormatting sqref="C21:I21">
    <cfRule type="expression" priority="55" dxfId="2">
      <formula>LEFT($C21,1)="✔"</formula>
    </cfRule>
    <cfRule type="expression" priority="56" dxfId="3">
      <formula>LEFT($C21,1)="✘"</formula>
    </cfRule>
  </conditionalFormatting>
  <conditionalFormatting sqref="B22">
    <cfRule type="expression" priority="57" dxfId="0">
      <formula>LEFT($C22,1)="✔"</formula>
    </cfRule>
    <cfRule type="expression" priority="58" dxfId="1">
      <formula>LEFT($C22,1)="✘"</formula>
    </cfRule>
  </conditionalFormatting>
  <conditionalFormatting sqref="C22:I22">
    <cfRule type="expression" priority="59" dxfId="2">
      <formula>LEFT($C22,1)="✔"</formula>
    </cfRule>
    <cfRule type="expression" priority="60" dxfId="3">
      <formula>LEFT($C22,1)="✘"</formula>
    </cfRule>
  </conditionalFormatting>
  <conditionalFormatting sqref="B23">
    <cfRule type="expression" priority="61" dxfId="0">
      <formula>LEFT($C23,1)="✔"</formula>
    </cfRule>
    <cfRule type="expression" priority="62" dxfId="1">
      <formula>LEFT($C23,1)="✘"</formula>
    </cfRule>
  </conditionalFormatting>
  <conditionalFormatting sqref="C23:I23">
    <cfRule type="expression" priority="63" dxfId="2">
      <formula>LEFT($C23,1)="✔"</formula>
    </cfRule>
    <cfRule type="expression" priority="64" dxfId="3">
      <formula>LEFT($C23,1)="✘"</formula>
    </cfRule>
  </conditionalFormatting>
  <conditionalFormatting sqref="B24">
    <cfRule type="expression" priority="65" dxfId="0">
      <formula>LEFT($C24,1)="✔"</formula>
    </cfRule>
    <cfRule type="expression" priority="66" dxfId="1">
      <formula>LEFT($C24,1)="✘"</formula>
    </cfRule>
  </conditionalFormatting>
  <conditionalFormatting sqref="C24:I24">
    <cfRule type="expression" priority="67" dxfId="2">
      <formula>LEFT($C24,1)="✔"</formula>
    </cfRule>
    <cfRule type="expression" priority="68" dxfId="3">
      <formula>LEFT($C24,1)="✘"</formula>
    </cfRule>
  </conditionalFormatting>
  <conditionalFormatting sqref="B25">
    <cfRule type="expression" priority="69" dxfId="0">
      <formula>LEFT($C25,1)="✔"</formula>
    </cfRule>
    <cfRule type="expression" priority="70" dxfId="1">
      <formula>LEFT($C25,1)="✘"</formula>
    </cfRule>
  </conditionalFormatting>
  <conditionalFormatting sqref="C25:I25">
    <cfRule type="expression" priority="71" dxfId="2">
      <formula>LEFT($C25,1)="✔"</formula>
    </cfRule>
    <cfRule type="expression" priority="72" dxfId="3">
      <formula>LEFT($C25,1)="✘"</formula>
    </cfRule>
  </conditionalFormatting>
  <conditionalFormatting sqref="B26">
    <cfRule type="expression" priority="73" dxfId="0">
      <formula>LEFT($C26,1)="✔"</formula>
    </cfRule>
    <cfRule type="expression" priority="74" dxfId="1">
      <formula>LEFT($C26,1)="✘"</formula>
    </cfRule>
  </conditionalFormatting>
  <conditionalFormatting sqref="C26:I26">
    <cfRule type="expression" priority="75" dxfId="2">
      <formula>LEFT($C26,1)="✔"</formula>
    </cfRule>
    <cfRule type="expression" priority="76" dxfId="3">
      <formula>LEFT($C26,1)="✘"</formula>
    </cfRule>
  </conditionalFormatting>
  <conditionalFormatting sqref="B27">
    <cfRule type="expression" priority="77" dxfId="0">
      <formula>LEFT($C27,1)="✔"</formula>
    </cfRule>
    <cfRule type="expression" priority="78" dxfId="1">
      <formula>LEFT($C27,1)="✘"</formula>
    </cfRule>
  </conditionalFormatting>
  <conditionalFormatting sqref="C27:I27">
    <cfRule type="expression" priority="79" dxfId="2">
      <formula>LEFT($C27,1)="✔"</formula>
    </cfRule>
    <cfRule type="expression" priority="80" dxfId="3">
      <formula>LEFT($C27,1)="✘"</formula>
    </cfRule>
  </conditionalFormatting>
  <conditionalFormatting sqref="B28">
    <cfRule type="expression" priority="81" dxfId="0">
      <formula>LEFT($C28,1)="✔"</formula>
    </cfRule>
    <cfRule type="expression" priority="82" dxfId="1">
      <formula>LEFT($C28,1)="✘"</formula>
    </cfRule>
  </conditionalFormatting>
  <conditionalFormatting sqref="C28:I28">
    <cfRule type="expression" priority="83" dxfId="2">
      <formula>LEFT($C28,1)="✔"</formula>
    </cfRule>
    <cfRule type="expression" priority="84" dxfId="3">
      <formula>LEFT($C28,1)="✘"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2185B"/>
    <outlinePr summaryBelow="1" summaryRight="1"/>
    <pageSetUpPr/>
  </sheetPr>
  <dimension ref="A1:I27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Regresión con datos · Nivel 2 · Con cabeceras</t>
        </is>
      </c>
      <c r="B1" s="27" t="n"/>
      <c r="C1" s="27" t="n"/>
      <c r="D1" s="27" t="n"/>
      <c r="E1" s="27" t="n"/>
      <c r="F1" s="27" t="n"/>
      <c r="G1" s="27" t="n"/>
    </row>
    <row r="2">
      <c r="E2" s="8" t="inlineStr">
        <is>
          <t>Aciertos:</t>
        </is>
      </c>
      <c r="F2" s="9">
        <f>SUMPRODUCT(--(LEFT($C$1:$C$33,1)="✔"))</f>
        <v/>
      </c>
      <c r="G2" s="8" t="inlineStr">
        <is>
          <t>de 9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Horas de formación (X) y Errores al mes (Y) de 9 casos.</t>
        </is>
      </c>
    </row>
    <row r="6">
      <c r="A6" s="28" t="inlineStr">
        <is>
          <t>Paso 1 · Tabla de trabajo</t>
        </is>
      </c>
    </row>
    <row r="7">
      <c r="A7" s="15" t="inlineStr">
        <is>
          <t>X</t>
        </is>
      </c>
      <c r="B7" s="15" t="inlineStr">
        <is>
          <t>Y</t>
        </is>
      </c>
      <c r="C7" s="15" t="inlineStr">
        <is>
          <t>X·Y</t>
        </is>
      </c>
      <c r="D7" s="15" t="inlineStr">
        <is>
          <t>X²</t>
        </is>
      </c>
      <c r="E7" s="15" t="inlineStr">
        <is>
          <t>Y²</t>
        </is>
      </c>
    </row>
    <row r="8">
      <c r="A8" s="12" t="n">
        <v>10</v>
      </c>
      <c r="B8" s="12" t="n">
        <v>33</v>
      </c>
      <c r="C8" s="18" t="n"/>
      <c r="D8" s="18" t="n"/>
      <c r="E8" s="18" t="n"/>
    </row>
    <row r="9">
      <c r="A9" s="12" t="n">
        <v>15</v>
      </c>
      <c r="B9" s="12" t="n">
        <v>34</v>
      </c>
      <c r="C9" s="18" t="n"/>
      <c r="D9" s="18" t="n"/>
      <c r="E9" s="18" t="n"/>
    </row>
    <row r="10">
      <c r="A10" s="12" t="n">
        <v>20</v>
      </c>
      <c r="B10" s="12" t="n">
        <v>30.8</v>
      </c>
      <c r="C10" s="18" t="n"/>
      <c r="D10" s="18" t="n"/>
      <c r="E10" s="18" t="n"/>
    </row>
    <row r="11">
      <c r="A11" s="12" t="n">
        <v>25</v>
      </c>
      <c r="B11" s="12" t="n">
        <v>28.5</v>
      </c>
      <c r="C11" s="18" t="n"/>
      <c r="D11" s="18" t="n"/>
      <c r="E11" s="18" t="n"/>
    </row>
    <row r="12">
      <c r="A12" s="12" t="n">
        <v>30</v>
      </c>
      <c r="B12" s="12" t="n">
        <v>27.5</v>
      </c>
      <c r="C12" s="18" t="n"/>
      <c r="D12" s="18" t="n"/>
      <c r="E12" s="18" t="n"/>
    </row>
    <row r="13">
      <c r="A13" s="12" t="n">
        <v>35</v>
      </c>
      <c r="B13" s="12" t="n">
        <v>26.2</v>
      </c>
      <c r="C13" s="18" t="n"/>
      <c r="D13" s="18" t="n"/>
      <c r="E13" s="18" t="n"/>
    </row>
    <row r="14">
      <c r="A14" s="12" t="n">
        <v>40</v>
      </c>
      <c r="B14" s="12" t="n">
        <v>22.6</v>
      </c>
      <c r="C14" s="18" t="n"/>
      <c r="D14" s="18" t="n"/>
      <c r="E14" s="18" t="n"/>
    </row>
    <row r="15">
      <c r="A15" s="12" t="n">
        <v>50</v>
      </c>
      <c r="B15" s="12" t="n">
        <v>18</v>
      </c>
      <c r="C15" s="18" t="n"/>
      <c r="D15" s="18" t="n"/>
      <c r="E15" s="18" t="n"/>
    </row>
    <row r="16">
      <c r="A16" s="12" t="n">
        <v>60</v>
      </c>
      <c r="B16" s="12" t="n">
        <v>9.6</v>
      </c>
      <c r="C16" s="18" t="n"/>
      <c r="D16" s="18" t="n"/>
      <c r="E16" s="18" t="n"/>
    </row>
    <row r="17"/>
    <row r="18">
      <c r="A18" s="28" t="inlineStr">
        <is>
          <t>Preguntas</t>
        </is>
      </c>
    </row>
    <row r="19">
      <c r="A19" s="19" t="inlineStr">
        <is>
          <t>Media de X</t>
        </is>
      </c>
      <c r="B19" s="20" t="n"/>
      <c r="C19" s="19">
        <f>IF(B19="","",IF(AND(ISNUMBER(B19),ABS(B19-Claves!$A$343)&lt;=0.03166666666666667),"✔ Bien",IF(NOT(ISNUMBER(B19)),"✘ Escribe solo el número (sin texto ni %).","✘ Revisa el cálculo.")))</f>
        <v/>
      </c>
    </row>
    <row r="20">
      <c r="A20" s="19" t="inlineStr">
        <is>
          <t>Media de Y</t>
        </is>
      </c>
      <c r="B20" s="20" t="n"/>
      <c r="C20" s="19">
        <f>IF(B20="","",IF(AND(ISNUMBER(B20),ABS(B20-Claves!$A$344)&lt;=0.02557777777777778),"✔ Bien",IF(NOT(ISNUMBER(B20)),"✘ Escribe solo el número (sin texto ni %).","✘ Revisa el cálculo.")))</f>
        <v/>
      </c>
    </row>
    <row r="21">
      <c r="A21" s="19" t="inlineStr">
        <is>
          <t>Covarianza</t>
        </is>
      </c>
      <c r="B21" s="20" t="n"/>
      <c r="C21" s="19">
        <f>IF(B21="","",IF(AND(ISNUMBER(B21),ABS(B21-Claves!$A$345)&lt;=0.11101851851851859),"✔ Bien",IF(NOT(ISNUMBER(B21)),"✘ Escribe solo el número (sin texto ni %).",IF(ABS(B21--124.89583333333341)&lt;=0.12489583333333341,"✘ Has usado COVARIANZA.M (divide entre n−1). En clase se usa COVARIANZA.P.","✘ Revisa el cálculo."))))</f>
        <v/>
      </c>
    </row>
    <row r="22">
      <c r="A22" s="19" t="inlineStr">
        <is>
          <t>Pendiente b (recta de Y sobre X)</t>
        </is>
      </c>
      <c r="B22" s="20" t="n"/>
      <c r="C22" s="19">
        <f>IF(B22="","",IF(AND(ISNUMBER(B22),ABS(B22-Claves!$A$346)&lt;=0.00051),"✔ Bien",IF(NOT(ISNUMBER(B22)),"✘ Escribe solo el número (sin texto ni %).",IF(ABS(B22--2.0495913353056223)&lt;=0.002049591335305622,"✘ Esa es la pendiente de X sobre Y. En PENDIENTE va primero la Y: =PENDIENTE(Y;X).",IF(ABS(B22--7.182860837273485)&lt;=0.007182860837273485,"✘ b = Sxy / Sx² (la VARIANZA de X, no la desviación).","✘ Revisa el cálculo.")))))</f>
        <v/>
      </c>
    </row>
    <row r="23">
      <c r="A23" s="19" t="inlineStr">
        <is>
          <t>Término independiente a</t>
        </is>
      </c>
      <c r="B23" s="20" t="n"/>
      <c r="C23" s="19">
        <f>IF(B23="","",IF(AND(ISNUMBER(B23),ABS(B23-Claves!$A$347)&lt;=0.04029418604651164),"✔ Bien",IF(NOT(ISNUMBER(B23)),"✘ Escribe solo el número (sin texto ni %).",IF(ABS(B23-84.0906583763727)&lt;=0.08409065837637271,"✘ Ese es el de la recta de X sobre Y. Usa =INTERSECCION.EJE(Y;X).","✘ Revisa el cálculo."))))</f>
        <v/>
      </c>
    </row>
    <row r="24">
      <c r="A24" s="19" t="inlineStr">
        <is>
          <t>Coeficiente de correlación r</t>
        </is>
      </c>
      <c r="B24" s="20" t="n"/>
      <c r="C24" s="19">
        <f>IF(B24="","",IF(AND(ISNUMBER(B24),ABS(B24-Claves!$A$348)&lt;=0.0009759630527047349),"✔ Bien",IF(NOT(ISNUMBER(B24)),"✘ Escribe solo el número (sin texto ni %).",IF(ABS(B24-0.9759630527047349)&lt;=0.0009759630527047349,"✘ Fíjate en el signo: r tiene el mismo signo que la pendiente.","✘ Revisa el cálculo."))))</f>
        <v/>
      </c>
    </row>
    <row r="25">
      <c r="A25" s="19" t="inlineStr">
        <is>
          <t>Coeficiente de determinación R² (decimal)</t>
        </is>
      </c>
      <c r="B25" s="20" t="n"/>
      <c r="C25" s="19">
        <f>IF(B25="","",IF(AND(ISNUMBER(B25),OR(ABS(B25-Claves!$A$349)&lt;=0.0009525038802447452,ABS(B25/100-Claves!$A$349)&lt;=0.0009525038802447452)),"✔ Bien",IF(NOT(ISNUMBER(B25)),"✘ Escribe solo el número (sin texto ni %).",IF(OR(ABS(B25--0.9759630527047349)&lt;=0.0009759630527047349,ABS(B25/100--0.9759630527047349)&lt;=0.0009759630527047349),"✘ Eso es r. R² es r al cuadrado.","✘ Revisa el cálculo."))))</f>
        <v/>
      </c>
    </row>
    <row r="26">
      <c r="A26" s="19" t="inlineStr">
        <is>
          <t>Predicción de Y para X = 45</t>
        </is>
      </c>
      <c r="B26" s="20" t="n"/>
      <c r="C26" s="19">
        <f>IF(B26="","",IF(AND(ISNUMBER(B26),ABS(B26-Claves!$A$350)&lt;=0.019381395348837205),"✔ Bien",IF(NOT(ISNUMBER(B26)),"✘ Escribe solo el número (sin texto ni %).",IF(ABS(B26--8.1409517123803)&lt;=0.0081409517123803,"✘ Has usado la recta de X sobre Y.","✘ Revisa el cálculo."))))</f>
        <v/>
      </c>
    </row>
    <row r="27" ht="30" customHeight="1">
      <c r="A27" s="19" t="inlineStr">
        <is>
          <t>% de la variabilidad de Y que NO explica la recta</t>
        </is>
      </c>
      <c r="B27" s="20" t="n"/>
      <c r="C27" s="19">
        <f>IF(B27="","",IF(AND(ISNUMBER(B27),OR(ABS(B27-Claves!$A$351)&lt;=0.00051,ABS(B27/100-Claves!$A$351)&lt;=0.00051)),"✔ Bien",IF(NOT(ISNUMBER(B27)),"✘ Escribe solo el número (sin texto ni %).",IF(OR(ABS(B27-0.9525038802447452)&lt;=0.0009525038802447452,ABS(B27/100-0.9525038802447452)&lt;=0.0009525038802447452),"✘ Ese es el % que SÍ explica (R²). El no explicado es 1 − R².","✘ Revisa el cálculo."))))</f>
        <v/>
      </c>
    </row>
  </sheetData>
  <mergeCells count="9">
    <mergeCell ref="C23:I23"/>
    <mergeCell ref="C22:I22"/>
    <mergeCell ref="C26:I26"/>
    <mergeCell ref="C21:I21"/>
    <mergeCell ref="C20:I20"/>
    <mergeCell ref="C24:I24"/>
    <mergeCell ref="C25:I25"/>
    <mergeCell ref="C27:I27"/>
    <mergeCell ref="C19:I19"/>
  </mergeCells>
  <conditionalFormatting sqref="C8">
    <cfRule type="expression" priority="1" dxfId="0">
      <formula>AND(C8&lt;&gt;"",ISNUMBER(C8),ABS(C8-Claves!$A$316)&lt;=0.33)</formula>
    </cfRule>
    <cfRule type="expression" priority="2" dxfId="1">
      <formula>AND(C8&lt;&gt;"",OR(NOT(ISNUMBER(C8)),ABS(C8-Claves!$A$316)&gt;0.33))</formula>
    </cfRule>
  </conditionalFormatting>
  <conditionalFormatting sqref="D8">
    <cfRule type="expression" priority="3" dxfId="0">
      <formula>AND(D8&lt;&gt;"",ISNUMBER(D8),ABS(D8-Claves!$A$317)&lt;=0.1)</formula>
    </cfRule>
    <cfRule type="expression" priority="4" dxfId="1">
      <formula>AND(D8&lt;&gt;"",OR(NOT(ISNUMBER(D8)),ABS(D8-Claves!$A$317)&gt;0.1))</formula>
    </cfRule>
  </conditionalFormatting>
  <conditionalFormatting sqref="E8">
    <cfRule type="expression" priority="5" dxfId="0">
      <formula>AND(E8&lt;&gt;"",ISNUMBER(E8),ABS(E8-Claves!$A$318)&lt;=1.089)</formula>
    </cfRule>
    <cfRule type="expression" priority="6" dxfId="1">
      <formula>AND(E8&lt;&gt;"",OR(NOT(ISNUMBER(E8)),ABS(E8-Claves!$A$318)&gt;1.089))</formula>
    </cfRule>
  </conditionalFormatting>
  <conditionalFormatting sqref="C9">
    <cfRule type="expression" priority="7" dxfId="0">
      <formula>AND(C9&lt;&gt;"",ISNUMBER(C9),ABS(C9-Claves!$A$319)&lt;=0.51)</formula>
    </cfRule>
    <cfRule type="expression" priority="8" dxfId="1">
      <formula>AND(C9&lt;&gt;"",OR(NOT(ISNUMBER(C9)),ABS(C9-Claves!$A$319)&gt;0.51))</formula>
    </cfRule>
  </conditionalFormatting>
  <conditionalFormatting sqref="D9">
    <cfRule type="expression" priority="9" dxfId="0">
      <formula>AND(D9&lt;&gt;"",ISNUMBER(D9),ABS(D9-Claves!$A$320)&lt;=0.225)</formula>
    </cfRule>
    <cfRule type="expression" priority="10" dxfId="1">
      <formula>AND(D9&lt;&gt;"",OR(NOT(ISNUMBER(D9)),ABS(D9-Claves!$A$320)&gt;0.225))</formula>
    </cfRule>
  </conditionalFormatting>
  <conditionalFormatting sqref="E9">
    <cfRule type="expression" priority="11" dxfId="0">
      <formula>AND(E9&lt;&gt;"",ISNUMBER(E9),ABS(E9-Claves!$A$321)&lt;=1.156)</formula>
    </cfRule>
    <cfRule type="expression" priority="12" dxfId="1">
      <formula>AND(E9&lt;&gt;"",OR(NOT(ISNUMBER(E9)),ABS(E9-Claves!$A$321)&gt;1.156))</formula>
    </cfRule>
  </conditionalFormatting>
  <conditionalFormatting sqref="C10">
    <cfRule type="expression" priority="13" dxfId="0">
      <formula>AND(C10&lt;&gt;"",ISNUMBER(C10),ABS(C10-Claves!$A$322)&lt;=0.616)</formula>
    </cfRule>
    <cfRule type="expression" priority="14" dxfId="1">
      <formula>AND(C10&lt;&gt;"",OR(NOT(ISNUMBER(C10)),ABS(C10-Claves!$A$322)&gt;0.616))</formula>
    </cfRule>
  </conditionalFormatting>
  <conditionalFormatting sqref="D10">
    <cfRule type="expression" priority="15" dxfId="0">
      <formula>AND(D10&lt;&gt;"",ISNUMBER(D10),ABS(D10-Claves!$A$323)&lt;=0.4)</formula>
    </cfRule>
    <cfRule type="expression" priority="16" dxfId="1">
      <formula>AND(D10&lt;&gt;"",OR(NOT(ISNUMBER(D10)),ABS(D10-Claves!$A$323)&gt;0.4))</formula>
    </cfRule>
  </conditionalFormatting>
  <conditionalFormatting sqref="E10">
    <cfRule type="expression" priority="17" dxfId="0">
      <formula>AND(E10&lt;&gt;"",ISNUMBER(E10),ABS(E10-Claves!$A$324)&lt;=0.9486400000000001)</formula>
    </cfRule>
    <cfRule type="expression" priority="18" dxfId="1">
      <formula>AND(E10&lt;&gt;"",OR(NOT(ISNUMBER(E10)),ABS(E10-Claves!$A$324)&gt;0.9486400000000001))</formula>
    </cfRule>
  </conditionalFormatting>
  <conditionalFormatting sqref="C11">
    <cfRule type="expression" priority="19" dxfId="0">
      <formula>AND(C11&lt;&gt;"",ISNUMBER(C11),ABS(C11-Claves!$A$325)&lt;=0.7125)</formula>
    </cfRule>
    <cfRule type="expression" priority="20" dxfId="1">
      <formula>AND(C11&lt;&gt;"",OR(NOT(ISNUMBER(C11)),ABS(C11-Claves!$A$325)&gt;0.7125))</formula>
    </cfRule>
  </conditionalFormatting>
  <conditionalFormatting sqref="D11">
    <cfRule type="expression" priority="21" dxfId="0">
      <formula>AND(D11&lt;&gt;"",ISNUMBER(D11),ABS(D11-Claves!$A$326)&lt;=0.625)</formula>
    </cfRule>
    <cfRule type="expression" priority="22" dxfId="1">
      <formula>AND(D11&lt;&gt;"",OR(NOT(ISNUMBER(D11)),ABS(D11-Claves!$A$326)&gt;0.625))</formula>
    </cfRule>
  </conditionalFormatting>
  <conditionalFormatting sqref="E11">
    <cfRule type="expression" priority="23" dxfId="0">
      <formula>AND(E11&lt;&gt;"",ISNUMBER(E11),ABS(E11-Claves!$A$327)&lt;=0.81225)</formula>
    </cfRule>
    <cfRule type="expression" priority="24" dxfId="1">
      <formula>AND(E11&lt;&gt;"",OR(NOT(ISNUMBER(E11)),ABS(E11-Claves!$A$327)&gt;0.81225))</formula>
    </cfRule>
  </conditionalFormatting>
  <conditionalFormatting sqref="C12">
    <cfRule type="expression" priority="25" dxfId="0">
      <formula>AND(C12&lt;&gt;"",ISNUMBER(C12),ABS(C12-Claves!$A$328)&lt;=0.8250000000000001)</formula>
    </cfRule>
    <cfRule type="expression" priority="26" dxfId="1">
      <formula>AND(C12&lt;&gt;"",OR(NOT(ISNUMBER(C12)),ABS(C12-Claves!$A$328)&gt;0.8250000000000001))</formula>
    </cfRule>
  </conditionalFormatting>
  <conditionalFormatting sqref="D12">
    <cfRule type="expression" priority="27" dxfId="0">
      <formula>AND(D12&lt;&gt;"",ISNUMBER(D12),ABS(D12-Claves!$A$329)&lt;=0.9)</formula>
    </cfRule>
    <cfRule type="expression" priority="28" dxfId="1">
      <formula>AND(D12&lt;&gt;"",OR(NOT(ISNUMBER(D12)),ABS(D12-Claves!$A$329)&gt;0.9))</formula>
    </cfRule>
  </conditionalFormatting>
  <conditionalFormatting sqref="E12">
    <cfRule type="expression" priority="29" dxfId="0">
      <formula>AND(E12&lt;&gt;"",ISNUMBER(E12),ABS(E12-Claves!$A$330)&lt;=0.75625)</formula>
    </cfRule>
    <cfRule type="expression" priority="30" dxfId="1">
      <formula>AND(E12&lt;&gt;"",OR(NOT(ISNUMBER(E12)),ABS(E12-Claves!$A$330)&gt;0.75625))</formula>
    </cfRule>
  </conditionalFormatting>
  <conditionalFormatting sqref="C13">
    <cfRule type="expression" priority="31" dxfId="0">
      <formula>AND(C13&lt;&gt;"",ISNUMBER(C13),ABS(C13-Claves!$A$331)&lt;=0.917)</formula>
    </cfRule>
    <cfRule type="expression" priority="32" dxfId="1">
      <formula>AND(C13&lt;&gt;"",OR(NOT(ISNUMBER(C13)),ABS(C13-Claves!$A$331)&gt;0.917))</formula>
    </cfRule>
  </conditionalFormatting>
  <conditionalFormatting sqref="D13">
    <cfRule type="expression" priority="33" dxfId="0">
      <formula>AND(D13&lt;&gt;"",ISNUMBER(D13),ABS(D13-Claves!$A$332)&lt;=1.225)</formula>
    </cfRule>
    <cfRule type="expression" priority="34" dxfId="1">
      <formula>AND(D13&lt;&gt;"",OR(NOT(ISNUMBER(D13)),ABS(D13-Claves!$A$332)&gt;1.225))</formula>
    </cfRule>
  </conditionalFormatting>
  <conditionalFormatting sqref="E13">
    <cfRule type="expression" priority="35" dxfId="0">
      <formula>AND(E13&lt;&gt;"",ISNUMBER(E13),ABS(E13-Claves!$A$333)&lt;=0.6864399999999999)</formula>
    </cfRule>
    <cfRule type="expression" priority="36" dxfId="1">
      <formula>AND(E13&lt;&gt;"",OR(NOT(ISNUMBER(E13)),ABS(E13-Claves!$A$333)&gt;0.6864399999999999))</formula>
    </cfRule>
  </conditionalFormatting>
  <conditionalFormatting sqref="C14">
    <cfRule type="expression" priority="37" dxfId="0">
      <formula>AND(C14&lt;&gt;"",ISNUMBER(C14),ABS(C14-Claves!$A$334)&lt;=0.904)</formula>
    </cfRule>
    <cfRule type="expression" priority="38" dxfId="1">
      <formula>AND(C14&lt;&gt;"",OR(NOT(ISNUMBER(C14)),ABS(C14-Claves!$A$334)&gt;0.904))</formula>
    </cfRule>
  </conditionalFormatting>
  <conditionalFormatting sqref="D14">
    <cfRule type="expression" priority="39" dxfId="0">
      <formula>AND(D14&lt;&gt;"",ISNUMBER(D14),ABS(D14-Claves!$A$335)&lt;=1.6)</formula>
    </cfRule>
    <cfRule type="expression" priority="40" dxfId="1">
      <formula>AND(D14&lt;&gt;"",OR(NOT(ISNUMBER(D14)),ABS(D14-Claves!$A$335)&gt;1.6))</formula>
    </cfRule>
  </conditionalFormatting>
  <conditionalFormatting sqref="E14">
    <cfRule type="expression" priority="41" dxfId="0">
      <formula>AND(E14&lt;&gt;"",ISNUMBER(E14),ABS(E14-Claves!$A$336)&lt;=0.5107600000000001)</formula>
    </cfRule>
    <cfRule type="expression" priority="42" dxfId="1">
      <formula>AND(E14&lt;&gt;"",OR(NOT(ISNUMBER(E14)),ABS(E14-Claves!$A$336)&gt;0.5107600000000001))</formula>
    </cfRule>
  </conditionalFormatting>
  <conditionalFormatting sqref="C15">
    <cfRule type="expression" priority="43" dxfId="0">
      <formula>AND(C15&lt;&gt;"",ISNUMBER(C15),ABS(C15-Claves!$A$337)&lt;=0.9)</formula>
    </cfRule>
    <cfRule type="expression" priority="44" dxfId="1">
      <formula>AND(C15&lt;&gt;"",OR(NOT(ISNUMBER(C15)),ABS(C15-Claves!$A$337)&gt;0.9))</formula>
    </cfRule>
  </conditionalFormatting>
  <conditionalFormatting sqref="D15">
    <cfRule type="expression" priority="45" dxfId="0">
      <formula>AND(D15&lt;&gt;"",ISNUMBER(D15),ABS(D15-Claves!$A$338)&lt;=2.5)</formula>
    </cfRule>
    <cfRule type="expression" priority="46" dxfId="1">
      <formula>AND(D15&lt;&gt;"",OR(NOT(ISNUMBER(D15)),ABS(D15-Claves!$A$338)&gt;2.5))</formula>
    </cfRule>
  </conditionalFormatting>
  <conditionalFormatting sqref="E15">
    <cfRule type="expression" priority="47" dxfId="0">
      <formula>AND(E15&lt;&gt;"",ISNUMBER(E15),ABS(E15-Claves!$A$339)&lt;=0.324)</formula>
    </cfRule>
    <cfRule type="expression" priority="48" dxfId="1">
      <formula>AND(E15&lt;&gt;"",OR(NOT(ISNUMBER(E15)),ABS(E15-Claves!$A$339)&gt;0.324))</formula>
    </cfRule>
  </conditionalFormatting>
  <conditionalFormatting sqref="C16">
    <cfRule type="expression" priority="49" dxfId="0">
      <formula>AND(C16&lt;&gt;"",ISNUMBER(C16),ABS(C16-Claves!$A$340)&lt;=0.5760000000000001)</formula>
    </cfRule>
    <cfRule type="expression" priority="50" dxfId="1">
      <formula>AND(C16&lt;&gt;"",OR(NOT(ISNUMBER(C16)),ABS(C16-Claves!$A$340)&gt;0.5760000000000001))</formula>
    </cfRule>
  </conditionalFormatting>
  <conditionalFormatting sqref="D16">
    <cfRule type="expression" priority="51" dxfId="0">
      <formula>AND(D16&lt;&gt;"",ISNUMBER(D16),ABS(D16-Claves!$A$341)&lt;=3.6)</formula>
    </cfRule>
    <cfRule type="expression" priority="52" dxfId="1">
      <formula>AND(D16&lt;&gt;"",OR(NOT(ISNUMBER(D16)),ABS(D16-Claves!$A$341)&gt;3.6))</formula>
    </cfRule>
  </conditionalFormatting>
  <conditionalFormatting sqref="E16">
    <cfRule type="expression" priority="53" dxfId="0">
      <formula>AND(E16&lt;&gt;"",ISNUMBER(E16),ABS(E16-Claves!$A$342)&lt;=0.09215999999999999)</formula>
    </cfRule>
    <cfRule type="expression" priority="54" dxfId="1">
      <formula>AND(E16&lt;&gt;"",OR(NOT(ISNUMBER(E16)),ABS(E16-Claves!$A$342)&gt;0.09215999999999999))</formula>
    </cfRule>
  </conditionalFormatting>
  <conditionalFormatting sqref="B19">
    <cfRule type="expression" priority="55" dxfId="0">
      <formula>LEFT($C19,1)="✔"</formula>
    </cfRule>
    <cfRule type="expression" priority="56" dxfId="1">
      <formula>LEFT($C19,1)="✘"</formula>
    </cfRule>
  </conditionalFormatting>
  <conditionalFormatting sqref="C19:I19">
    <cfRule type="expression" priority="57" dxfId="2">
      <formula>LEFT($C19,1)="✔"</formula>
    </cfRule>
    <cfRule type="expression" priority="58" dxfId="3">
      <formula>LEFT($C19,1)="✘"</formula>
    </cfRule>
  </conditionalFormatting>
  <conditionalFormatting sqref="B20">
    <cfRule type="expression" priority="59" dxfId="0">
      <formula>LEFT($C20,1)="✔"</formula>
    </cfRule>
    <cfRule type="expression" priority="60" dxfId="1">
      <formula>LEFT($C20,1)="✘"</formula>
    </cfRule>
  </conditionalFormatting>
  <conditionalFormatting sqref="C20:I20">
    <cfRule type="expression" priority="61" dxfId="2">
      <formula>LEFT($C20,1)="✔"</formula>
    </cfRule>
    <cfRule type="expression" priority="62" dxfId="3">
      <formula>LEFT($C20,1)="✘"</formula>
    </cfRule>
  </conditionalFormatting>
  <conditionalFormatting sqref="B21">
    <cfRule type="expression" priority="63" dxfId="0">
      <formula>LEFT($C21,1)="✔"</formula>
    </cfRule>
    <cfRule type="expression" priority="64" dxfId="1">
      <formula>LEFT($C21,1)="✘"</formula>
    </cfRule>
  </conditionalFormatting>
  <conditionalFormatting sqref="C21:I21">
    <cfRule type="expression" priority="65" dxfId="2">
      <formula>LEFT($C21,1)="✔"</formula>
    </cfRule>
    <cfRule type="expression" priority="66" dxfId="3">
      <formula>LEFT($C21,1)="✘"</formula>
    </cfRule>
  </conditionalFormatting>
  <conditionalFormatting sqref="B22">
    <cfRule type="expression" priority="67" dxfId="0">
      <formula>LEFT($C22,1)="✔"</formula>
    </cfRule>
    <cfRule type="expression" priority="68" dxfId="1">
      <formula>LEFT($C22,1)="✘"</formula>
    </cfRule>
  </conditionalFormatting>
  <conditionalFormatting sqref="C22:I22">
    <cfRule type="expression" priority="69" dxfId="2">
      <formula>LEFT($C22,1)="✔"</formula>
    </cfRule>
    <cfRule type="expression" priority="70" dxfId="3">
      <formula>LEFT($C22,1)="✘"</formula>
    </cfRule>
  </conditionalFormatting>
  <conditionalFormatting sqref="B23">
    <cfRule type="expression" priority="71" dxfId="0">
      <formula>LEFT($C23,1)="✔"</formula>
    </cfRule>
    <cfRule type="expression" priority="72" dxfId="1">
      <formula>LEFT($C23,1)="✘"</formula>
    </cfRule>
  </conditionalFormatting>
  <conditionalFormatting sqref="C23:I23">
    <cfRule type="expression" priority="73" dxfId="2">
      <formula>LEFT($C23,1)="✔"</formula>
    </cfRule>
    <cfRule type="expression" priority="74" dxfId="3">
      <formula>LEFT($C23,1)="✘"</formula>
    </cfRule>
  </conditionalFormatting>
  <conditionalFormatting sqref="B24">
    <cfRule type="expression" priority="75" dxfId="0">
      <formula>LEFT($C24,1)="✔"</formula>
    </cfRule>
    <cfRule type="expression" priority="76" dxfId="1">
      <formula>LEFT($C24,1)="✘"</formula>
    </cfRule>
  </conditionalFormatting>
  <conditionalFormatting sqref="C24:I24">
    <cfRule type="expression" priority="77" dxfId="2">
      <formula>LEFT($C24,1)="✔"</formula>
    </cfRule>
    <cfRule type="expression" priority="78" dxfId="3">
      <formula>LEFT($C24,1)="✘"</formula>
    </cfRule>
  </conditionalFormatting>
  <conditionalFormatting sqref="B25">
    <cfRule type="expression" priority="79" dxfId="0">
      <formula>LEFT($C25,1)="✔"</formula>
    </cfRule>
    <cfRule type="expression" priority="80" dxfId="1">
      <formula>LEFT($C25,1)="✘"</formula>
    </cfRule>
  </conditionalFormatting>
  <conditionalFormatting sqref="C25:I25">
    <cfRule type="expression" priority="81" dxfId="2">
      <formula>LEFT($C25,1)="✔"</formula>
    </cfRule>
    <cfRule type="expression" priority="82" dxfId="3">
      <formula>LEFT($C25,1)="✘"</formula>
    </cfRule>
  </conditionalFormatting>
  <conditionalFormatting sqref="B26">
    <cfRule type="expression" priority="83" dxfId="0">
      <formula>LEFT($C26,1)="✔"</formula>
    </cfRule>
    <cfRule type="expression" priority="84" dxfId="1">
      <formula>LEFT($C26,1)="✘"</formula>
    </cfRule>
  </conditionalFormatting>
  <conditionalFormatting sqref="C26:I26">
    <cfRule type="expression" priority="85" dxfId="2">
      <formula>LEFT($C26,1)="✔"</formula>
    </cfRule>
    <cfRule type="expression" priority="86" dxfId="3">
      <formula>LEFT($C26,1)="✘"</formula>
    </cfRule>
  </conditionalFormatting>
  <conditionalFormatting sqref="B27">
    <cfRule type="expression" priority="87" dxfId="0">
      <formula>LEFT($C27,1)="✔"</formula>
    </cfRule>
    <cfRule type="expression" priority="88" dxfId="1">
      <formula>LEFT($C27,1)="✘"</formula>
    </cfRule>
  </conditionalFormatting>
  <conditionalFormatting sqref="C27:I27">
    <cfRule type="expression" priority="89" dxfId="2">
      <formula>LEFT($C27,1)="✔"</formula>
    </cfRule>
    <cfRule type="expression" priority="90" dxfId="3">
      <formula>LEFT($C27,1)="✘"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2185B"/>
    <outlinePr summaryBelow="1" summaryRight="1"/>
    <pageSetUpPr/>
  </sheetPr>
  <dimension ref="A1:I27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Regresión con datos · Nivel 3 · Sin ayuda</t>
        </is>
      </c>
      <c r="B1" s="27" t="n"/>
      <c r="C1" s="27" t="n"/>
      <c r="D1" s="27" t="n"/>
      <c r="E1" s="27" t="n"/>
      <c r="F1" s="27" t="n"/>
      <c r="G1" s="27" t="n"/>
    </row>
    <row r="2">
      <c r="E2" s="8" t="inlineStr">
        <is>
          <t>Aciertos:</t>
        </is>
      </c>
      <c r="F2" s="9">
        <f>SUMPRODUCT(--(LEFT($C$1:$C$33,1)="✔"))</f>
        <v/>
      </c>
      <c r="G2" s="8" t="inlineStr">
        <is>
          <t>de 9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Inversión en publicidad, miles € (X) y Ventas, miles € (Y) de 10 casos.</t>
        </is>
      </c>
    </row>
    <row r="6">
      <c r="A6" s="15" t="inlineStr">
        <is>
          <t>X</t>
        </is>
      </c>
      <c r="B6" s="15" t="inlineStr">
        <is>
          <t>Y</t>
        </is>
      </c>
    </row>
    <row r="7">
      <c r="A7" s="12" t="n">
        <v>1</v>
      </c>
      <c r="B7" s="12" t="n">
        <v>59.1</v>
      </c>
    </row>
    <row r="8">
      <c r="A8" s="12" t="n">
        <v>2</v>
      </c>
      <c r="B8" s="12" t="n">
        <v>62.2</v>
      </c>
    </row>
    <row r="9">
      <c r="A9" s="12" t="n">
        <v>3</v>
      </c>
      <c r="B9" s="12" t="n">
        <v>80.90000000000001</v>
      </c>
    </row>
    <row r="10">
      <c r="A10" s="12" t="n">
        <v>4</v>
      </c>
      <c r="B10" s="12" t="n">
        <v>78.40000000000001</v>
      </c>
    </row>
    <row r="11">
      <c r="A11" s="12" t="n">
        <v>5</v>
      </c>
      <c r="B11" s="12" t="n">
        <v>85.7</v>
      </c>
    </row>
    <row r="12">
      <c r="A12" s="12" t="n">
        <v>6</v>
      </c>
      <c r="B12" s="12" t="n">
        <v>104.1</v>
      </c>
    </row>
    <row r="13">
      <c r="A13" s="12" t="n">
        <v>7</v>
      </c>
      <c r="B13" s="12" t="n">
        <v>117.4</v>
      </c>
    </row>
    <row r="14">
      <c r="A14" s="12" t="n">
        <v>8</v>
      </c>
      <c r="B14" s="12" t="n">
        <v>125.7</v>
      </c>
    </row>
    <row r="15">
      <c r="A15" s="12" t="n">
        <v>9</v>
      </c>
      <c r="B15" s="12" t="n">
        <v>134.6</v>
      </c>
    </row>
    <row r="16">
      <c r="A16" s="12" t="n">
        <v>10</v>
      </c>
      <c r="B16" s="12" t="n">
        <v>137.4</v>
      </c>
    </row>
    <row r="17"/>
    <row r="18">
      <c r="A18" s="28" t="inlineStr">
        <is>
          <t>Preguntas</t>
        </is>
      </c>
    </row>
    <row r="19">
      <c r="A19" s="19" t="inlineStr">
        <is>
          <t>Media de X</t>
        </is>
      </c>
      <c r="B19" s="20" t="n"/>
      <c r="C19" s="19">
        <f>IF(B19="","",IF(AND(ISNUMBER(B19),ABS(B19-Claves!$A$352)&lt;=0.0055),"✔ Bien",IF(NOT(ISNUMBER(B19)),"✘ Escribe solo el número (sin texto ni %).","✘ Revisa el cálculo.")))</f>
        <v/>
      </c>
    </row>
    <row r="20">
      <c r="A20" s="19" t="inlineStr">
        <is>
          <t>Media de Y</t>
        </is>
      </c>
      <c r="B20" s="20" t="n"/>
      <c r="C20" s="19">
        <f>IF(B20="","",IF(AND(ISNUMBER(B20),ABS(B20-Claves!$A$353)&lt;=0.09855),"✔ Bien",IF(NOT(ISNUMBER(B20)),"✘ Escribe solo el número (sin texto ni %).","✘ Revisa el cálculo.")))</f>
        <v/>
      </c>
    </row>
    <row r="21">
      <c r="A21" s="19" t="inlineStr">
        <is>
          <t>Covarianza</t>
        </is>
      </c>
      <c r="B21" s="20" t="n"/>
      <c r="C21" s="19">
        <f>IF(B21="","",IF(AND(ISNUMBER(B21),ABS(B21-Claves!$A$354)&lt;=0.07854499999999996),"✔ Bien",IF(NOT(ISNUMBER(B21)),"✘ Escribe solo el número (sin texto ni %).",IF(ABS(B21-87.27222222222218)&lt;=0.08727222222222218,"✘ Has usado COVARIANZA.M (divide entre n−1). En clase se usa COVARIANZA.P.","✘ Revisa el cálculo."))))</f>
        <v/>
      </c>
    </row>
    <row r="22">
      <c r="A22" s="19" t="inlineStr">
        <is>
          <t>Pendiente b (recta de Y sobre X)</t>
        </is>
      </c>
      <c r="B22" s="20" t="n"/>
      <c r="C22" s="19">
        <f>IF(B22="","",IF(AND(ISNUMBER(B22),ABS(B22-Claves!$A$355)&lt;=0.009520606060606056),"✔ Bien",IF(NOT(ISNUMBER(B22)),"✘ Escribe solo el número (sin texto ni %).",IF(ABS(B22-0.10210641192387611)&lt;=0.00051,"✘ Esa es la pendiente de X sobre Y. En PENDIENTE va primero la Y: =PENDIENTE(Y;X).",IF(ABS(B22-27.34585897408056)&lt;=0.02734585897408056,"✘ b = Sxy / Sx² (la VARIANZA de X, no la desviación).","✘ Revisa el cálculo.")))))</f>
        <v/>
      </c>
    </row>
    <row r="23">
      <c r="A23" s="19" t="inlineStr">
        <is>
          <t>Término independiente a</t>
        </is>
      </c>
      <c r="B23" s="20" t="n"/>
      <c r="C23" s="19">
        <f>IF(B23="","",IF(AND(ISNUMBER(B23),ABS(B23-Claves!$A$356)&lt;=0.04618666666666669),"✔ Bien",IF(NOT(ISNUMBER(B23)),"✘ Escribe solo el número (sin texto ni %).",IF(ABS(B23--4.56258689509799)&lt;=0.0051,"✘ Ese es el de la recta de X sobre Y. Usa =INTERSECCION.EJE(Y;X).","✘ Revisa el cálculo."))))</f>
        <v/>
      </c>
    </row>
    <row r="24">
      <c r="A24" s="19" t="inlineStr">
        <is>
          <t>Coeficiente de correlación r</t>
        </is>
      </c>
      <c r="B24" s="20" t="n"/>
      <c r="C24" s="19">
        <f>IF(B24="","",IF(AND(ISNUMBER(B24),ABS(B24-Claves!$A$357)&lt;=0.0009859588856484804),"✔ Bien",IF(NOT(ISNUMBER(B24)),"✘ Escribe solo el número (sin texto ni %).",IF(ABS(B24-0.9721149241891933)&lt;=0.0009721149241891933,"✘ Eso es R². r es la raíz (con el signo de b).","✘ Revisa el cálculo."))))</f>
        <v/>
      </c>
    </row>
    <row r="25">
      <c r="A25" s="19" t="inlineStr">
        <is>
          <t>Coeficiente de determinación R² (decimal)</t>
        </is>
      </c>
      <c r="B25" s="20" t="n"/>
      <c r="C25" s="19">
        <f>IF(B25="","",IF(AND(ISNUMBER(B25),OR(ABS(B25-Claves!$A$358)&lt;=0.0009721149241891933,ABS(B25/100-Claves!$A$358)&lt;=0.0009721149241891933)),"✔ Bien",IF(NOT(ISNUMBER(B25)),"✘ Escribe solo el número (sin texto ni %).",IF(OR(ABS(B25-0.9859588856484804)&lt;=0.0009859588856484804,ABS(B25/100-0.9859588856484804)&lt;=0.0009859588856484804),"✘ Eso es r. R² es r al cuadrado.","✘ Revisa el cálculo."))))</f>
        <v/>
      </c>
    </row>
    <row r="26">
      <c r="A26" s="19" t="inlineStr">
        <is>
          <t>Predicción de Y para X = 11</t>
        </is>
      </c>
      <c r="B26" s="20" t="n"/>
      <c r="C26" s="19">
        <f>IF(B26="","",IF(AND(ISNUMBER(B26),ABS(B26-Claves!$A$359)&lt;=0.1509133333333333),"✔ Bien",IF(NOT(ISNUMBER(B26)),"✘ Escribe solo el número (sin texto ni %).",IF(ABS(B26--3.4394163639353525)&lt;=0.0051,"✘ Has usado la recta de X sobre Y.","✘ Revisa el cálculo."))))</f>
        <v/>
      </c>
    </row>
    <row r="27" ht="30" customHeight="1">
      <c r="A27" s="19" t="inlineStr">
        <is>
          <t>% de la variabilidad de Y que NO explica la recta</t>
        </is>
      </c>
      <c r="B27" s="20" t="n"/>
      <c r="C27" s="19">
        <f>IF(B27="","",IF(AND(ISNUMBER(B27),OR(ABS(B27-Claves!$A$360)&lt;=0.00051,ABS(B27/100-Claves!$A$360)&lt;=0.00051)),"✔ Bien",IF(NOT(ISNUMBER(B27)),"✘ Escribe solo el número (sin texto ni %).",IF(OR(ABS(B27-0.9721149241891933)&lt;=0.0009721149241891933,ABS(B27/100-0.9721149241891933)&lt;=0.0009721149241891933),"✘ Ese es el % que SÍ explica (R²). El no explicado es 1 − R².","✘ Revisa el cálculo."))))</f>
        <v/>
      </c>
    </row>
  </sheetData>
  <mergeCells count="9">
    <mergeCell ref="C23:I23"/>
    <mergeCell ref="C22:I22"/>
    <mergeCell ref="C26:I26"/>
    <mergeCell ref="C21:I21"/>
    <mergeCell ref="C20:I20"/>
    <mergeCell ref="C24:I24"/>
    <mergeCell ref="C25:I25"/>
    <mergeCell ref="C27:I27"/>
    <mergeCell ref="C19:I19"/>
  </mergeCells>
  <conditionalFormatting sqref="B19">
    <cfRule type="expression" priority="1" dxfId="0">
      <formula>LEFT($C19,1)="✔"</formula>
    </cfRule>
    <cfRule type="expression" priority="2" dxfId="1">
      <formula>LEFT($C19,1)="✘"</formula>
    </cfRule>
  </conditionalFormatting>
  <conditionalFormatting sqref="C19:I19">
    <cfRule type="expression" priority="3" dxfId="2">
      <formula>LEFT($C19,1)="✔"</formula>
    </cfRule>
    <cfRule type="expression" priority="4" dxfId="3">
      <formula>LEFT($C19,1)="✘"</formula>
    </cfRule>
  </conditionalFormatting>
  <conditionalFormatting sqref="B20">
    <cfRule type="expression" priority="5" dxfId="0">
      <formula>LEFT($C20,1)="✔"</formula>
    </cfRule>
    <cfRule type="expression" priority="6" dxfId="1">
      <formula>LEFT($C20,1)="✘"</formula>
    </cfRule>
  </conditionalFormatting>
  <conditionalFormatting sqref="C20:I20">
    <cfRule type="expression" priority="7" dxfId="2">
      <formula>LEFT($C20,1)="✔"</formula>
    </cfRule>
    <cfRule type="expression" priority="8" dxfId="3">
      <formula>LEFT($C20,1)="✘"</formula>
    </cfRule>
  </conditionalFormatting>
  <conditionalFormatting sqref="B21">
    <cfRule type="expression" priority="9" dxfId="0">
      <formula>LEFT($C21,1)="✔"</formula>
    </cfRule>
    <cfRule type="expression" priority="10" dxfId="1">
      <formula>LEFT($C21,1)="✘"</formula>
    </cfRule>
  </conditionalFormatting>
  <conditionalFormatting sqref="C21:I21">
    <cfRule type="expression" priority="11" dxfId="2">
      <formula>LEFT($C21,1)="✔"</formula>
    </cfRule>
    <cfRule type="expression" priority="12" dxfId="3">
      <formula>LEFT($C21,1)="✘"</formula>
    </cfRule>
  </conditionalFormatting>
  <conditionalFormatting sqref="B22">
    <cfRule type="expression" priority="13" dxfId="0">
      <formula>LEFT($C22,1)="✔"</formula>
    </cfRule>
    <cfRule type="expression" priority="14" dxfId="1">
      <formula>LEFT($C22,1)="✘"</formula>
    </cfRule>
  </conditionalFormatting>
  <conditionalFormatting sqref="C22:I22">
    <cfRule type="expression" priority="15" dxfId="2">
      <formula>LEFT($C22,1)="✔"</formula>
    </cfRule>
    <cfRule type="expression" priority="16" dxfId="3">
      <formula>LEFT($C22,1)="✘"</formula>
    </cfRule>
  </conditionalFormatting>
  <conditionalFormatting sqref="B23">
    <cfRule type="expression" priority="17" dxfId="0">
      <formula>LEFT($C23,1)="✔"</formula>
    </cfRule>
    <cfRule type="expression" priority="18" dxfId="1">
      <formula>LEFT($C23,1)="✘"</formula>
    </cfRule>
  </conditionalFormatting>
  <conditionalFormatting sqref="C23:I23">
    <cfRule type="expression" priority="19" dxfId="2">
      <formula>LEFT($C23,1)="✔"</formula>
    </cfRule>
    <cfRule type="expression" priority="20" dxfId="3">
      <formula>LEFT($C23,1)="✘"</formula>
    </cfRule>
  </conditionalFormatting>
  <conditionalFormatting sqref="B24">
    <cfRule type="expression" priority="21" dxfId="0">
      <formula>LEFT($C24,1)="✔"</formula>
    </cfRule>
    <cfRule type="expression" priority="22" dxfId="1">
      <formula>LEFT($C24,1)="✘"</formula>
    </cfRule>
  </conditionalFormatting>
  <conditionalFormatting sqref="C24:I24">
    <cfRule type="expression" priority="23" dxfId="2">
      <formula>LEFT($C24,1)="✔"</formula>
    </cfRule>
    <cfRule type="expression" priority="24" dxfId="3">
      <formula>LEFT($C24,1)="✘"</formula>
    </cfRule>
  </conditionalFormatting>
  <conditionalFormatting sqref="B25">
    <cfRule type="expression" priority="25" dxfId="0">
      <formula>LEFT($C25,1)="✔"</formula>
    </cfRule>
    <cfRule type="expression" priority="26" dxfId="1">
      <formula>LEFT($C25,1)="✘"</formula>
    </cfRule>
  </conditionalFormatting>
  <conditionalFormatting sqref="C25:I25">
    <cfRule type="expression" priority="27" dxfId="2">
      <formula>LEFT($C25,1)="✔"</formula>
    </cfRule>
    <cfRule type="expression" priority="28" dxfId="3">
      <formula>LEFT($C25,1)="✘"</formula>
    </cfRule>
  </conditionalFormatting>
  <conditionalFormatting sqref="B26">
    <cfRule type="expression" priority="29" dxfId="0">
      <formula>LEFT($C26,1)="✔"</formula>
    </cfRule>
    <cfRule type="expression" priority="30" dxfId="1">
      <formula>LEFT($C26,1)="✘"</formula>
    </cfRule>
  </conditionalFormatting>
  <conditionalFormatting sqref="C26:I26">
    <cfRule type="expression" priority="31" dxfId="2">
      <formula>LEFT($C26,1)="✔"</formula>
    </cfRule>
    <cfRule type="expression" priority="32" dxfId="3">
      <formula>LEFT($C26,1)="✘"</formula>
    </cfRule>
  </conditionalFormatting>
  <conditionalFormatting sqref="B27">
    <cfRule type="expression" priority="33" dxfId="0">
      <formula>LEFT($C27,1)="✔"</formula>
    </cfRule>
    <cfRule type="expression" priority="34" dxfId="1">
      <formula>LEFT($C27,1)="✘"</formula>
    </cfRule>
  </conditionalFormatting>
  <conditionalFormatting sqref="C27:I27">
    <cfRule type="expression" priority="35" dxfId="2">
      <formula>LEFT($C27,1)="✔"</formula>
    </cfRule>
    <cfRule type="expression" priority="36" dxfId="3">
      <formula>LEFT($C27,1)="✘"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2185B"/>
    <outlinePr summaryBelow="1" summaryRight="1"/>
    <pageSetUpPr/>
  </sheetPr>
  <dimension ref="A1:I19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Regresión a partir de resúmenes · Nivel 1 · Con guía</t>
        </is>
      </c>
      <c r="B1" s="27" t="n"/>
      <c r="C1" s="27" t="n"/>
      <c r="D1" s="27" t="n"/>
      <c r="E1" s="27" t="n"/>
      <c r="F1" s="27" t="n"/>
      <c r="G1" s="27" t="n"/>
    </row>
    <row r="2">
      <c r="E2" s="8" t="inlineStr">
        <is>
          <t>Aciertos:</t>
        </is>
      </c>
      <c r="F2" s="9">
        <f>SUMPRODUCT(--(LEFT($C$1:$C$25,1)="✔"))</f>
        <v/>
      </c>
      <c r="G2" s="8" t="inlineStr">
        <is>
          <t>de 5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X = gasto en formación (miles €), Y = productividad (unidades). Datos resumidos:</t>
        </is>
      </c>
    </row>
    <row r="6">
      <c r="A6" s="15" t="inlineStr">
        <is>
          <t>Dato</t>
        </is>
      </c>
      <c r="B6" s="15" t="inlineStr">
        <is>
          <t>Valor</t>
        </is>
      </c>
    </row>
    <row r="7">
      <c r="A7" s="21" t="inlineStr">
        <is>
          <t>x̄</t>
        </is>
      </c>
      <c r="B7" s="12" t="n">
        <v>40</v>
      </c>
    </row>
    <row r="8">
      <c r="A8" s="21" t="inlineStr">
        <is>
          <t>ȳ</t>
        </is>
      </c>
      <c r="B8" s="12" t="n">
        <v>620</v>
      </c>
    </row>
    <row r="9">
      <c r="A9" s="21" t="inlineStr">
        <is>
          <t>Sx² (varianza de X)</t>
        </is>
      </c>
      <c r="B9" s="12" t="n">
        <v>144</v>
      </c>
    </row>
    <row r="10">
      <c r="A10" s="21" t="inlineStr">
        <is>
          <t>Sy² (varianza de Y)</t>
        </is>
      </c>
      <c r="B10" s="12" t="n">
        <v>22500</v>
      </c>
    </row>
    <row r="11">
      <c r="A11" s="21" t="inlineStr">
        <is>
          <t>Sxy (covarianza)</t>
        </is>
      </c>
      <c r="B11" s="12" t="n">
        <v>1440</v>
      </c>
    </row>
    <row r="12"/>
    <row r="13">
      <c r="A13" s="14" t="inlineStr">
        <is>
          <t>💡 b = Sxy / Sx² · a = ȳ − b·x̄ · r = Sxy / (Sx·Sy) · R² = r²</t>
        </is>
      </c>
    </row>
    <row r="14">
      <c r="A14" s="28" t="inlineStr">
        <is>
          <t>Preguntas</t>
        </is>
      </c>
    </row>
    <row r="15">
      <c r="A15" s="19" t="inlineStr">
        <is>
          <t>Pendiente b</t>
        </is>
      </c>
      <c r="B15" s="20" t="n"/>
      <c r="C15" s="19">
        <f>IF(B15="","",IF(AND(ISNUMBER(B15),ABS(B15-Claves!$A$361)&lt;=0.01),"✔ Bien",IF(NOT(ISNUMBER(B15)),"✘ Escribe solo el número (sin texto ni %).",IF(ABS(B15-120)&lt;=0.12,"✘ b = Sxy / Sx² : divide entre la VARIANZA de X (Sx al cuadrado).",IF(ABS(B15-0.064)&lt;=0.00051,"✘ Esa es la pendiente de X sobre Y (divides entre Sy²).","✘ Revisa el cálculo.")))))</f>
        <v/>
      </c>
    </row>
    <row r="16">
      <c r="A16" s="19" t="inlineStr">
        <is>
          <t>Término independiente a</t>
        </is>
      </c>
      <c r="B16" s="20" t="n"/>
      <c r="C16" s="19">
        <f>IF(B16="","",IF(AND(ISNUMBER(B16),ABS(B16-Claves!$A$362)&lt;=0.22),"✔ Bien",IF(NOT(ISNUMBER(B16)),"✘ Escribe solo el número (sin texto ni %).","✘ Revisa el cálculo.")))</f>
        <v/>
      </c>
    </row>
    <row r="17">
      <c r="A17" s="19" t="inlineStr">
        <is>
          <t>Correlación r</t>
        </is>
      </c>
      <c r="B17" s="20" t="n"/>
      <c r="C17" s="19">
        <f>IF(B17="","",IF(AND(ISNUMBER(B17),ABS(B17-Claves!$A$363)&lt;=0.0008),"✔ Bien",IF(NOT(ISNUMBER(B17)),"✘ Escribe solo el número (sin texto ni %).","✘ Revisa el cálculo.")))</f>
        <v/>
      </c>
    </row>
    <row r="18">
      <c r="A18" s="19" t="inlineStr">
        <is>
          <t>R² (decimal)</t>
        </is>
      </c>
      <c r="B18" s="20" t="n"/>
      <c r="C18" s="19">
        <f>IF(B18="","",IF(AND(ISNUMBER(B18),OR(ABS(B18-Claves!$A$364)&lt;=0.0006400000000000002,ABS(B18/100-Claves!$A$364)&lt;=0.0006400000000000002)),"✔ Bien",IF(NOT(ISNUMBER(B18)),"✘ Escribe solo el número (sin texto ni %).","✘ Revisa el cálculo.")))</f>
        <v/>
      </c>
    </row>
    <row r="19">
      <c r="A19" s="19" t="inlineStr">
        <is>
          <t>Predicción de Y para 55000 €</t>
        </is>
      </c>
      <c r="B19" s="20" t="n"/>
      <c r="C19" s="19">
        <f>IF(B19="","",IF(AND(ISNUMBER(B19),ABS(B19-Claves!$A$365)&lt;=0.77),"✔ Bien",IF(NOT(ISNUMBER(B19)),"✘ Escribe solo el número (sin texto ni %).",IF(ABS(B19-550220)&lt;=550.22,"✘ Cuidado con las unidades: si X está en miles, 55000 € es X = 55.","✘ Revisa el cálculo."))))</f>
        <v/>
      </c>
    </row>
  </sheetData>
  <mergeCells count="5">
    <mergeCell ref="C18:I18"/>
    <mergeCell ref="C17:I17"/>
    <mergeCell ref="C16:I16"/>
    <mergeCell ref="C15:I15"/>
    <mergeCell ref="C19:I19"/>
  </mergeCells>
  <conditionalFormatting sqref="B15">
    <cfRule type="expression" priority="1" dxfId="0">
      <formula>LEFT($C15,1)="✔"</formula>
    </cfRule>
    <cfRule type="expression" priority="2" dxfId="1">
      <formula>LEFT($C15,1)="✘"</formula>
    </cfRule>
  </conditionalFormatting>
  <conditionalFormatting sqref="C15:I15">
    <cfRule type="expression" priority="3" dxfId="2">
      <formula>LEFT($C15,1)="✔"</formula>
    </cfRule>
    <cfRule type="expression" priority="4" dxfId="3">
      <formula>LEFT($C15,1)="✘"</formula>
    </cfRule>
  </conditionalFormatting>
  <conditionalFormatting sqref="B16">
    <cfRule type="expression" priority="5" dxfId="0">
      <formula>LEFT($C16,1)="✔"</formula>
    </cfRule>
    <cfRule type="expression" priority="6" dxfId="1">
      <formula>LEFT($C16,1)="✘"</formula>
    </cfRule>
  </conditionalFormatting>
  <conditionalFormatting sqref="C16:I16">
    <cfRule type="expression" priority="7" dxfId="2">
      <formula>LEFT($C16,1)="✔"</formula>
    </cfRule>
    <cfRule type="expression" priority="8" dxfId="3">
      <formula>LEFT($C16,1)="✘"</formula>
    </cfRule>
  </conditionalFormatting>
  <conditionalFormatting sqref="B17">
    <cfRule type="expression" priority="9" dxfId="0">
      <formula>LEFT($C17,1)="✔"</formula>
    </cfRule>
    <cfRule type="expression" priority="10" dxfId="1">
      <formula>LEFT($C17,1)="✘"</formula>
    </cfRule>
  </conditionalFormatting>
  <conditionalFormatting sqref="C17:I17">
    <cfRule type="expression" priority="11" dxfId="2">
      <formula>LEFT($C17,1)="✔"</formula>
    </cfRule>
    <cfRule type="expression" priority="12" dxfId="3">
      <formula>LEFT($C17,1)="✘"</formula>
    </cfRule>
  </conditionalFormatting>
  <conditionalFormatting sqref="B18">
    <cfRule type="expression" priority="13" dxfId="0">
      <formula>LEFT($C18,1)="✔"</formula>
    </cfRule>
    <cfRule type="expression" priority="14" dxfId="1">
      <formula>LEFT($C18,1)="✘"</formula>
    </cfRule>
  </conditionalFormatting>
  <conditionalFormatting sqref="C18:I18">
    <cfRule type="expression" priority="15" dxfId="2">
      <formula>LEFT($C18,1)="✔"</formula>
    </cfRule>
    <cfRule type="expression" priority="16" dxfId="3">
      <formula>LEFT($C18,1)="✘"</formula>
    </cfRule>
  </conditionalFormatting>
  <conditionalFormatting sqref="B19">
    <cfRule type="expression" priority="17" dxfId="0">
      <formula>LEFT($C19,1)="✔"</formula>
    </cfRule>
    <cfRule type="expression" priority="18" dxfId="1">
      <formula>LEFT($C19,1)="✘"</formula>
    </cfRule>
  </conditionalFormatting>
  <conditionalFormatting sqref="C19:I19">
    <cfRule type="expression" priority="19" dxfId="2">
      <formula>LEFT($C19,1)="✔"</formula>
    </cfRule>
    <cfRule type="expression" priority="20" dxfId="3">
      <formula>LEFT($C19,1)="✘"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2185B"/>
    <outlinePr summaryBelow="1" summaryRight="1"/>
    <pageSetUpPr/>
  </sheetPr>
  <dimension ref="A1:I19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Regresión a partir de resúmenes · Nivel 2 · Con cabeceras</t>
        </is>
      </c>
      <c r="B1" s="27" t="n"/>
      <c r="C1" s="27" t="n"/>
      <c r="D1" s="27" t="n"/>
      <c r="E1" s="27" t="n"/>
      <c r="F1" s="27" t="n"/>
      <c r="G1" s="27" t="n"/>
    </row>
    <row r="2">
      <c r="E2" s="8" t="inlineStr">
        <is>
          <t>Aciertos:</t>
        </is>
      </c>
      <c r="F2" s="9">
        <f>SUMPRODUCT(--(LEFT($C$1:$C$25,1)="✔"))</f>
        <v/>
      </c>
      <c r="G2" s="8" t="inlineStr">
        <is>
          <t>de 5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X = años de antigüedad, Y = días de baja al año ×10. Datos resumidos:</t>
        </is>
      </c>
    </row>
    <row r="6">
      <c r="A6" s="15" t="inlineStr">
        <is>
          <t>Dato</t>
        </is>
      </c>
      <c r="B6" s="15" t="inlineStr">
        <is>
          <t>Valor</t>
        </is>
      </c>
    </row>
    <row r="7">
      <c r="A7" s="21" t="inlineStr">
        <is>
          <t>x̄</t>
        </is>
      </c>
      <c r="B7" s="12" t="n">
        <v>8</v>
      </c>
    </row>
    <row r="8">
      <c r="A8" s="21" t="inlineStr">
        <is>
          <t>ȳ</t>
        </is>
      </c>
      <c r="B8" s="12" t="n">
        <v>1800</v>
      </c>
    </row>
    <row r="9">
      <c r="A9" s="21" t="inlineStr">
        <is>
          <t>Sx (desviación típica de X)</t>
        </is>
      </c>
      <c r="B9" s="12" t="n">
        <v>3</v>
      </c>
    </row>
    <row r="10">
      <c r="A10" s="21" t="inlineStr">
        <is>
          <t>Sy (desviación típica de Y)</t>
        </is>
      </c>
      <c r="B10" s="12" t="n">
        <v>300</v>
      </c>
    </row>
    <row r="11">
      <c r="A11" s="21" t="inlineStr">
        <is>
          <t>Sxy (covarianza)</t>
        </is>
      </c>
      <c r="B11" s="12" t="n">
        <v>-540</v>
      </c>
    </row>
    <row r="12"/>
    <row r="13">
      <c r="A13" s="14" t="inlineStr">
        <is>
          <t>💡 Cuidado: aquí te dan desviaciones típicas (S), no varianzas (S²).</t>
        </is>
      </c>
    </row>
    <row r="14">
      <c r="A14" s="28" t="inlineStr">
        <is>
          <t>Preguntas</t>
        </is>
      </c>
    </row>
    <row r="15">
      <c r="A15" s="19" t="inlineStr">
        <is>
          <t>Pendiente b</t>
        </is>
      </c>
      <c r="B15" s="20" t="n"/>
      <c r="C15" s="19">
        <f>IF(B15="","",IF(AND(ISNUMBER(B15),ABS(B15-Claves!$A$366)&lt;=0.06),"✔ Bien",IF(NOT(ISNUMBER(B15)),"✘ Escribe solo el número (sin texto ni %).",IF(ABS(B15--180)&lt;=0.18,"✘ b = Sxy / Sx² : divide entre la VARIANZA de X (Sx al cuadrado).",IF(ABS(B15--0.006)&lt;=0.00051,"✘ Esa es la pendiente de X sobre Y (divides entre Sy²).","✘ Revisa el cálculo.")))))</f>
        <v/>
      </c>
    </row>
    <row r="16">
      <c r="A16" s="19" t="inlineStr">
        <is>
          <t>Término independiente a</t>
        </is>
      </c>
      <c r="B16" s="20" t="n"/>
      <c r="C16" s="19">
        <f>IF(B16="","",IF(AND(ISNUMBER(B16),ABS(B16-Claves!$A$367)&lt;=2.2800000000000002),"✔ Bien",IF(NOT(ISNUMBER(B16)),"✘ Escribe solo el número (sin texto ni %).","✘ Revisa el cálculo.")))</f>
        <v/>
      </c>
    </row>
    <row r="17">
      <c r="A17" s="19" t="inlineStr">
        <is>
          <t>Correlación r</t>
        </is>
      </c>
      <c r="B17" s="20" t="n"/>
      <c r="C17" s="19">
        <f>IF(B17="","",IF(AND(ISNUMBER(B17),ABS(B17-Claves!$A$368)&lt;=0.0006),"✔ Bien",IF(NOT(ISNUMBER(B17)),"✘ Escribe solo el número (sin texto ni %).","✘ Revisa el cálculo.")))</f>
        <v/>
      </c>
    </row>
    <row r="18">
      <c r="A18" s="19" t="inlineStr">
        <is>
          <t>R² (decimal)</t>
        </is>
      </c>
      <c r="B18" s="20" t="n"/>
      <c r="C18" s="19">
        <f>IF(B18="","",IF(AND(ISNUMBER(B18),OR(ABS(B18-Claves!$A$369)&lt;=0.00051,ABS(B18/100-Claves!$A$369)&lt;=0.00051)),"✔ Bien",IF(NOT(ISNUMBER(B18)),"✘ Escribe solo el número (sin texto ni %).","✘ Revisa el cálculo.")))</f>
        <v/>
      </c>
    </row>
    <row r="19">
      <c r="A19" s="19" t="inlineStr">
        <is>
          <t>Predicción de Y para 10 años</t>
        </is>
      </c>
      <c r="B19" s="20" t="n"/>
      <c r="C19" s="19">
        <f>IF(B19="","",IF(AND(ISNUMBER(B19),ABS(B19-Claves!$A$370)&lt;=1.68),"✔ Bien",IF(NOT(ISNUMBER(B19)),"✘ Escribe solo el número (sin texto ni %).","✘ Revisa el cálculo.")))</f>
        <v/>
      </c>
    </row>
  </sheetData>
  <mergeCells count="5">
    <mergeCell ref="C18:I18"/>
    <mergeCell ref="C17:I17"/>
    <mergeCell ref="C16:I16"/>
    <mergeCell ref="C15:I15"/>
    <mergeCell ref="C19:I19"/>
  </mergeCells>
  <conditionalFormatting sqref="B15">
    <cfRule type="expression" priority="1" dxfId="0">
      <formula>LEFT($C15,1)="✔"</formula>
    </cfRule>
    <cfRule type="expression" priority="2" dxfId="1">
      <formula>LEFT($C15,1)="✘"</formula>
    </cfRule>
  </conditionalFormatting>
  <conditionalFormatting sqref="C15:I15">
    <cfRule type="expression" priority="3" dxfId="2">
      <formula>LEFT($C15,1)="✔"</formula>
    </cfRule>
    <cfRule type="expression" priority="4" dxfId="3">
      <formula>LEFT($C15,1)="✘"</formula>
    </cfRule>
  </conditionalFormatting>
  <conditionalFormatting sqref="B16">
    <cfRule type="expression" priority="5" dxfId="0">
      <formula>LEFT($C16,1)="✔"</formula>
    </cfRule>
    <cfRule type="expression" priority="6" dxfId="1">
      <formula>LEFT($C16,1)="✘"</formula>
    </cfRule>
  </conditionalFormatting>
  <conditionalFormatting sqref="C16:I16">
    <cfRule type="expression" priority="7" dxfId="2">
      <formula>LEFT($C16,1)="✔"</formula>
    </cfRule>
    <cfRule type="expression" priority="8" dxfId="3">
      <formula>LEFT($C16,1)="✘"</formula>
    </cfRule>
  </conditionalFormatting>
  <conditionalFormatting sqref="B17">
    <cfRule type="expression" priority="9" dxfId="0">
      <formula>LEFT($C17,1)="✔"</formula>
    </cfRule>
    <cfRule type="expression" priority="10" dxfId="1">
      <formula>LEFT($C17,1)="✘"</formula>
    </cfRule>
  </conditionalFormatting>
  <conditionalFormatting sqref="C17:I17">
    <cfRule type="expression" priority="11" dxfId="2">
      <formula>LEFT($C17,1)="✔"</formula>
    </cfRule>
    <cfRule type="expression" priority="12" dxfId="3">
      <formula>LEFT($C17,1)="✘"</formula>
    </cfRule>
  </conditionalFormatting>
  <conditionalFormatting sqref="B18">
    <cfRule type="expression" priority="13" dxfId="0">
      <formula>LEFT($C18,1)="✔"</formula>
    </cfRule>
    <cfRule type="expression" priority="14" dxfId="1">
      <formula>LEFT($C18,1)="✘"</formula>
    </cfRule>
  </conditionalFormatting>
  <conditionalFormatting sqref="C18:I18">
    <cfRule type="expression" priority="15" dxfId="2">
      <formula>LEFT($C18,1)="✔"</formula>
    </cfRule>
    <cfRule type="expression" priority="16" dxfId="3">
      <formula>LEFT($C18,1)="✘"</formula>
    </cfRule>
  </conditionalFormatting>
  <conditionalFormatting sqref="B19">
    <cfRule type="expression" priority="17" dxfId="0">
      <formula>LEFT($C19,1)="✔"</formula>
    </cfRule>
    <cfRule type="expression" priority="18" dxfId="1">
      <formula>LEFT($C19,1)="✘"</formula>
    </cfRule>
  </conditionalFormatting>
  <conditionalFormatting sqref="C19:I19">
    <cfRule type="expression" priority="19" dxfId="2">
      <formula>LEFT($C19,1)="✔"</formula>
    </cfRule>
    <cfRule type="expression" priority="20" dxfId="3">
      <formula>LEFT($C19,1)="✘"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2185B"/>
    <outlinePr summaryBelow="1" summaryRight="1"/>
    <pageSetUpPr/>
  </sheetPr>
  <dimension ref="A1:I19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6" t="inlineStr">
        <is>
          <t>Regresión a partir de resúmenes · Nivel 3 · Sin ayuda</t>
        </is>
      </c>
      <c r="B1" s="27" t="n"/>
      <c r="C1" s="27" t="n"/>
      <c r="D1" s="27" t="n"/>
      <c r="E1" s="27" t="n"/>
      <c r="F1" s="27" t="n"/>
      <c r="G1" s="27" t="n"/>
    </row>
    <row r="2">
      <c r="E2" s="8" t="inlineStr">
        <is>
          <t>Aciertos:</t>
        </is>
      </c>
      <c r="F2" s="9">
        <f>SUMPRODUCT(--(LEFT($C$1:$C$25,1)="✔"))</f>
        <v/>
      </c>
      <c r="G2" s="8" t="inlineStr">
        <is>
          <t>de 5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X = tasación (miles €), Y = precio de venta (miles €). Datos resumidos:</t>
        </is>
      </c>
    </row>
    <row r="6">
      <c r="A6" s="15" t="inlineStr">
        <is>
          <t>Dato</t>
        </is>
      </c>
      <c r="B6" s="15" t="inlineStr">
        <is>
          <t>Valor</t>
        </is>
      </c>
    </row>
    <row r="7">
      <c r="A7" s="21" t="inlineStr">
        <is>
          <t>x̄</t>
        </is>
      </c>
      <c r="B7" s="12" t="n">
        <v>150</v>
      </c>
    </row>
    <row r="8">
      <c r="A8" s="21" t="inlineStr">
        <is>
          <t>ȳ</t>
        </is>
      </c>
      <c r="B8" s="12" t="n">
        <v>210</v>
      </c>
    </row>
    <row r="9">
      <c r="A9" s="21" t="inlineStr">
        <is>
          <t>Sx (desviación típica de X)</t>
        </is>
      </c>
      <c r="B9" s="12" t="n">
        <v>30</v>
      </c>
    </row>
    <row r="10">
      <c r="A10" s="21" t="inlineStr">
        <is>
          <t>Sy (desviación típica de Y)</t>
        </is>
      </c>
      <c r="B10" s="12" t="n">
        <v>40</v>
      </c>
    </row>
    <row r="11">
      <c r="A11" s="21" t="inlineStr">
        <is>
          <t>r (correlación)</t>
        </is>
      </c>
      <c r="B11" s="12" t="n">
        <v>0.85</v>
      </c>
    </row>
    <row r="12"/>
    <row r="13">
      <c r="A13" s="14" t="inlineStr">
        <is>
          <t>💡 Primero saca la covarianza: Sxy = r·Sx·Sy.</t>
        </is>
      </c>
    </row>
    <row r="14">
      <c r="A14" s="28" t="inlineStr">
        <is>
          <t>Preguntas</t>
        </is>
      </c>
    </row>
    <row r="15">
      <c r="A15" s="19" t="inlineStr">
        <is>
          <t>Covarianza Sxy</t>
        </is>
      </c>
      <c r="B15" s="20" t="n"/>
      <c r="C15" s="19">
        <f>IF(B15="","",IF(AND(ISNUMBER(B15),ABS(B15-Claves!$A$371)&lt;=1.02),"✔ Bien",IF(NOT(ISNUMBER(B15)),"✘ Escribe solo el número (sin texto ni %).","✘ Revisa el cálculo.")))</f>
        <v/>
      </c>
    </row>
    <row r="16">
      <c r="A16" s="19" t="inlineStr">
        <is>
          <t>Pendiente b</t>
        </is>
      </c>
      <c r="B16" s="20" t="n"/>
      <c r="C16" s="19">
        <f>IF(B16="","",IF(AND(ISNUMBER(B16),ABS(B16-Claves!$A$372)&lt;=0.0011333333333333334),"✔ Bien",IF(NOT(ISNUMBER(B16)),"✘ Escribe solo el número (sin texto ni %).",IF(ABS(B16-34)&lt;=0.034,"✘ b = Sxy / Sx² : divide entre la VARIANZA de X (Sx al cuadrado).",IF(ABS(B16-0.6375)&lt;=0.0006374999999999999,"✘ Esa es la pendiente de X sobre Y (divides entre Sy²).","✘ Revisa el cálculo.")))))</f>
        <v/>
      </c>
    </row>
    <row r="17">
      <c r="A17" s="19" t="inlineStr">
        <is>
          <t>Término independiente a</t>
        </is>
      </c>
      <c r="B17" s="20" t="n"/>
      <c r="C17" s="19">
        <f>IF(B17="","",IF(AND(ISNUMBER(B17),ABS(B17-Claves!$A$373)&lt;=0.04),"✔ Bien",IF(NOT(ISNUMBER(B17)),"✘ Escribe solo el número (sin texto ni %).","✘ Revisa el cálculo.")))</f>
        <v/>
      </c>
    </row>
    <row r="18">
      <c r="A18" s="19" t="inlineStr">
        <is>
          <t>R² (decimal)</t>
        </is>
      </c>
      <c r="B18" s="20" t="n"/>
      <c r="C18" s="19">
        <f>IF(B18="","",IF(AND(ISNUMBER(B18),OR(ABS(B18-Claves!$A$374)&lt;=0.0007224999999999999,ABS(B18/100-Claves!$A$374)&lt;=0.0007224999999999999)),"✔ Bien",IF(NOT(ISNUMBER(B18)),"✘ Escribe solo el número (sin texto ni %).","✘ Revisa el cálculo.")))</f>
        <v/>
      </c>
    </row>
    <row r="19">
      <c r="A19" s="19" t="inlineStr">
        <is>
          <t>Predicción de Y para 180000 €</t>
        </is>
      </c>
      <c r="B19" s="20" t="n"/>
      <c r="C19" s="19">
        <f>IF(B19="","",IF(AND(ISNUMBER(B19),ABS(B19-Claves!$A$375)&lt;=0.244),"✔ Bien",IF(NOT(ISNUMBER(B19)),"✘ Escribe solo el número (sin texto ni %).",IF(ABS(B19-204040)&lt;=204.04,"✘ Cuidado con las unidades: si X está en miles, 55000 € es X = 55.","✘ Revisa el cálculo."))))</f>
        <v/>
      </c>
    </row>
  </sheetData>
  <mergeCells count="5">
    <mergeCell ref="C18:I18"/>
    <mergeCell ref="C17:I17"/>
    <mergeCell ref="C16:I16"/>
    <mergeCell ref="C15:I15"/>
    <mergeCell ref="C19:I19"/>
  </mergeCells>
  <conditionalFormatting sqref="B15">
    <cfRule type="expression" priority="1" dxfId="0">
      <formula>LEFT($C15,1)="✔"</formula>
    </cfRule>
    <cfRule type="expression" priority="2" dxfId="1">
      <formula>LEFT($C15,1)="✘"</formula>
    </cfRule>
  </conditionalFormatting>
  <conditionalFormatting sqref="C15:I15">
    <cfRule type="expression" priority="3" dxfId="2">
      <formula>LEFT($C15,1)="✔"</formula>
    </cfRule>
    <cfRule type="expression" priority="4" dxfId="3">
      <formula>LEFT($C15,1)="✘"</formula>
    </cfRule>
  </conditionalFormatting>
  <conditionalFormatting sqref="B16">
    <cfRule type="expression" priority="5" dxfId="0">
      <formula>LEFT($C16,1)="✔"</formula>
    </cfRule>
    <cfRule type="expression" priority="6" dxfId="1">
      <formula>LEFT($C16,1)="✘"</formula>
    </cfRule>
  </conditionalFormatting>
  <conditionalFormatting sqref="C16:I16">
    <cfRule type="expression" priority="7" dxfId="2">
      <formula>LEFT($C16,1)="✔"</formula>
    </cfRule>
    <cfRule type="expression" priority="8" dxfId="3">
      <formula>LEFT($C16,1)="✘"</formula>
    </cfRule>
  </conditionalFormatting>
  <conditionalFormatting sqref="B17">
    <cfRule type="expression" priority="9" dxfId="0">
      <formula>LEFT($C17,1)="✔"</formula>
    </cfRule>
    <cfRule type="expression" priority="10" dxfId="1">
      <formula>LEFT($C17,1)="✘"</formula>
    </cfRule>
  </conditionalFormatting>
  <conditionalFormatting sqref="C17:I17">
    <cfRule type="expression" priority="11" dxfId="2">
      <formula>LEFT($C17,1)="✔"</formula>
    </cfRule>
    <cfRule type="expression" priority="12" dxfId="3">
      <formula>LEFT($C17,1)="✘"</formula>
    </cfRule>
  </conditionalFormatting>
  <conditionalFormatting sqref="B18">
    <cfRule type="expression" priority="13" dxfId="0">
      <formula>LEFT($C18,1)="✔"</formula>
    </cfRule>
    <cfRule type="expression" priority="14" dxfId="1">
      <formula>LEFT($C18,1)="✘"</formula>
    </cfRule>
  </conditionalFormatting>
  <conditionalFormatting sqref="C18:I18">
    <cfRule type="expression" priority="15" dxfId="2">
      <formula>LEFT($C18,1)="✔"</formula>
    </cfRule>
    <cfRule type="expression" priority="16" dxfId="3">
      <formula>LEFT($C18,1)="✘"</formula>
    </cfRule>
  </conditionalFormatting>
  <conditionalFormatting sqref="B19">
    <cfRule type="expression" priority="17" dxfId="0">
      <formula>LEFT($C19,1)="✔"</formula>
    </cfRule>
    <cfRule type="expression" priority="18" dxfId="1">
      <formula>LEFT($C19,1)="✘"</formula>
    </cfRule>
  </conditionalFormatting>
  <conditionalFormatting sqref="C19:I19">
    <cfRule type="expression" priority="19" dxfId="2">
      <formula>LEFT($C19,1)="✔"</formula>
    </cfRule>
    <cfRule type="expression" priority="20" dxfId="3">
      <formula>LEFT($C19,1)="✘"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A86F00"/>
    <outlinePr summaryBelow="1" summaryRight="1"/>
    <pageSetUpPr/>
  </sheetPr>
  <dimension ref="A1:I17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9" t="inlineStr">
        <is>
          <t>Índices y tasas · Nivel 1 · Con guía</t>
        </is>
      </c>
      <c r="B1" s="30" t="n"/>
      <c r="C1" s="30" t="n"/>
      <c r="D1" s="30" t="n"/>
      <c r="E1" s="30" t="n"/>
      <c r="F1" s="30" t="n"/>
      <c r="G1" s="30" t="n"/>
    </row>
    <row r="2">
      <c r="E2" s="8" t="inlineStr">
        <is>
          <t>Aciertos:</t>
        </is>
      </c>
      <c r="F2" s="9">
        <f>SUMPRODUCT(--(LEFT($C$1:$C$23,1)="✔"))</f>
        <v/>
      </c>
      <c r="G2" s="8" t="inlineStr">
        <is>
          <t>de 2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Ventas anuales de una empresa (miles de €).</t>
        </is>
      </c>
    </row>
    <row r="6">
      <c r="A6" s="14" t="inlineStr">
        <is>
          <t>💡 Índice base 2020 = valor/valor 2020 × 100. Tasa = valor/anterior − 1. Tasa media anual = (1 + tasa total)^(1/nº de años) − 1.</t>
        </is>
      </c>
    </row>
    <row r="7">
      <c r="A7" s="15" t="inlineStr">
        <is>
          <t>Año</t>
        </is>
      </c>
      <c r="B7" s="15" t="inlineStr">
        <is>
          <t>Ventas</t>
        </is>
      </c>
      <c r="C7" s="15" t="inlineStr">
        <is>
          <t>Índice base 2020</t>
        </is>
      </c>
      <c r="D7" s="15" t="inlineStr">
        <is>
          <t>Tasa vs año anterior</t>
        </is>
      </c>
      <c r="E7" s="15" t="inlineStr">
        <is>
          <t>Índice base 2022</t>
        </is>
      </c>
    </row>
    <row r="8" ht="30" customHeight="1">
      <c r="A8" s="16" t="inlineStr">
        <is>
          <t>Pista →</t>
        </is>
      </c>
      <c r="C8" s="17" t="inlineStr">
        <is>
          <t>ej. =B/B$2020*100</t>
        </is>
      </c>
      <c r="D8" s="17" t="inlineStr">
        <is>
          <t>ej. =B/B anterior−1</t>
        </is>
      </c>
      <c r="E8" s="17" t="inlineStr">
        <is>
          <t>ej. =índice/índice 2022*100</t>
        </is>
      </c>
    </row>
    <row r="9">
      <c r="A9" s="12" t="n">
        <v>2020</v>
      </c>
      <c r="B9" s="12" t="n">
        <v>1250</v>
      </c>
      <c r="C9" s="18" t="n"/>
      <c r="D9" s="18" t="n"/>
      <c r="E9" s="18" t="n"/>
    </row>
    <row r="10">
      <c r="A10" s="12" t="n">
        <v>2021</v>
      </c>
      <c r="B10" s="12" t="n">
        <v>1300</v>
      </c>
      <c r="C10" s="18" t="n"/>
      <c r="D10" s="18" t="n"/>
      <c r="E10" s="18" t="n"/>
    </row>
    <row r="11">
      <c r="A11" s="12" t="n">
        <v>2022</v>
      </c>
      <c r="B11" s="12" t="n">
        <v>1365</v>
      </c>
      <c r="C11" s="18" t="n"/>
      <c r="D11" s="18" t="n"/>
      <c r="E11" s="18" t="n"/>
    </row>
    <row r="12">
      <c r="A12" s="12" t="n">
        <v>2023</v>
      </c>
      <c r="B12" s="12" t="n">
        <v>1350</v>
      </c>
      <c r="C12" s="18" t="n"/>
      <c r="D12" s="18" t="n"/>
      <c r="E12" s="18" t="n"/>
    </row>
    <row r="13">
      <c r="A13" s="12" t="n">
        <v>2024</v>
      </c>
      <c r="B13" s="12" t="n">
        <v>1420</v>
      </c>
      <c r="C13" s="18" t="n"/>
      <c r="D13" s="18" t="n"/>
      <c r="E13" s="18" t="n"/>
    </row>
    <row r="14"/>
    <row r="15">
      <c r="A15" s="31" t="inlineStr">
        <is>
          <t>Preguntas</t>
        </is>
      </c>
    </row>
    <row r="16">
      <c r="A16" s="19" t="inlineStr">
        <is>
          <t>Tasa de variación total 2020-2024 (decimal)</t>
        </is>
      </c>
      <c r="B16" s="20" t="n"/>
      <c r="C16" s="19">
        <f>IF(B16="","",IF(AND(ISNUMBER(B16),OR(ABS(B16-Claves!$A$391)&lt;=0.0001359999999999999,ABS(B16/100-Claves!$A$391)&lt;=0.0001359999999999999)),"✔ Bien",IF(NOT(ISNUMBER(B16)),"✘ Escribe solo el número (sin texto ni %).","✘ Revisa el cálculo.")))</f>
        <v/>
      </c>
    </row>
    <row r="17">
      <c r="A17" s="19" t="inlineStr">
        <is>
          <t>Tasa media anual 2020-2024 (decimal)</t>
        </is>
      </c>
      <c r="B17" s="20" t="n"/>
      <c r="C17" s="19">
        <f>IF(B17="","",IF(AND(ISNUMBER(B17),OR(ABS(B17-Claves!$A$392)&lt;=5.1000000000000006e-05,ABS(B17/100-Claves!$A$392)&lt;=5.1000000000000006e-05)),"✔ Bien",IF(NOT(ISNUMBER(B17)),"✘ Escribe solo el número (sin texto ni %).",IF(OR(ABS(B17-0.032715710215710236)&lt;=5.1000000000000006e-05,ABS(B17/100-0.032715710215710236)&lt;=5.1000000000000006e-05),"✘ Has hecho la media aritmética de las tasas. Hay que usar la media geométrica: (1+T)^(1/4) − 1.",IF(OR(ABS(B17-0.033999999999999975)&lt;=5.1000000000000006e-05,ABS(B17/100-0.033999999999999975)&lt;=5.1000000000000006e-05),"✘ No se divide la tasa entre 4: (1+T)^(1/4) − 1.",IF(OR(ABS(B17-0.025830639140963285)&lt;=5.1000000000000006e-05,ABS(B17/100-0.025830639140963285)&lt;=5.1000000000000006e-05),"✘ De 2020 a 2024 hay 4 años, no 5.","✘ Revisa el cálculo."))))))</f>
        <v/>
      </c>
    </row>
  </sheetData>
  <mergeCells count="2">
    <mergeCell ref="C17:I17"/>
    <mergeCell ref="C16:I16"/>
  </mergeCells>
  <conditionalFormatting sqref="C9">
    <cfRule type="expression" priority="1" dxfId="0">
      <formula>AND(C9&lt;&gt;"",ISNUMBER(C9),ABS(C9-Claves!$A$376)&lt;=0.1)</formula>
    </cfRule>
    <cfRule type="expression" priority="2" dxfId="1">
      <formula>AND(C9&lt;&gt;"",OR(NOT(ISNUMBER(C9)),ABS(C9-Claves!$A$376)&gt;0.1))</formula>
    </cfRule>
  </conditionalFormatting>
  <conditionalFormatting sqref="D9">
    <cfRule type="expression" priority="3" dxfId="0">
      <formula>AND(D9&lt;&gt;"",ISNUMBER(D9),ABS(D9-Claves!$A$377)&lt;=5.1000000000000006e-05)</formula>
    </cfRule>
    <cfRule type="expression" priority="4" dxfId="1">
      <formula>AND(D9&lt;&gt;"",OR(NOT(ISNUMBER(D9)),ABS(D9-Claves!$A$377)&gt;5.1000000000000006e-05))</formula>
    </cfRule>
  </conditionalFormatting>
  <conditionalFormatting sqref="E9">
    <cfRule type="expression" priority="5" dxfId="0">
      <formula>AND(E9&lt;&gt;"",ISNUMBER(E9),ABS(E9-Claves!$A$378)&lt;=0.09157509157509158)</formula>
    </cfRule>
    <cfRule type="expression" priority="6" dxfId="1">
      <formula>AND(E9&lt;&gt;"",OR(NOT(ISNUMBER(E9)),ABS(E9-Claves!$A$378)&gt;0.09157509157509158))</formula>
    </cfRule>
  </conditionalFormatting>
  <conditionalFormatting sqref="C10">
    <cfRule type="expression" priority="7" dxfId="0">
      <formula>AND(C10&lt;&gt;"",ISNUMBER(C10),ABS(C10-Claves!$A$379)&lt;=0.10400000000000001)</formula>
    </cfRule>
    <cfRule type="expression" priority="8" dxfId="1">
      <formula>AND(C10&lt;&gt;"",OR(NOT(ISNUMBER(C10)),ABS(C10-Claves!$A$379)&gt;0.10400000000000001))</formula>
    </cfRule>
  </conditionalFormatting>
  <conditionalFormatting sqref="D10">
    <cfRule type="expression" priority="9" dxfId="0">
      <formula>AND(D10&lt;&gt;"",ISNUMBER(D10),ABS(D10-Claves!$A$380)&lt;=5.1000000000000006e-05)</formula>
    </cfRule>
    <cfRule type="expression" priority="10" dxfId="1">
      <formula>AND(D10&lt;&gt;"",OR(NOT(ISNUMBER(D10)),ABS(D10-Claves!$A$380)&gt;5.1000000000000006e-05))</formula>
    </cfRule>
  </conditionalFormatting>
  <conditionalFormatting sqref="E10">
    <cfRule type="expression" priority="11" dxfId="0">
      <formula>AND(E10&lt;&gt;"",ISNUMBER(E10),ABS(E10-Claves!$A$381)&lt;=0.09523809523809523)</formula>
    </cfRule>
    <cfRule type="expression" priority="12" dxfId="1">
      <formula>AND(E10&lt;&gt;"",OR(NOT(ISNUMBER(E10)),ABS(E10-Claves!$A$381)&gt;0.09523809523809523))</formula>
    </cfRule>
  </conditionalFormatting>
  <conditionalFormatting sqref="C11">
    <cfRule type="expression" priority="13" dxfId="0">
      <formula>AND(C11&lt;&gt;"",ISNUMBER(C11),ABS(C11-Claves!$A$382)&lt;=0.1092)</formula>
    </cfRule>
    <cfRule type="expression" priority="14" dxfId="1">
      <formula>AND(C11&lt;&gt;"",OR(NOT(ISNUMBER(C11)),ABS(C11-Claves!$A$382)&gt;0.1092))</formula>
    </cfRule>
  </conditionalFormatting>
  <conditionalFormatting sqref="D11">
    <cfRule type="expression" priority="15" dxfId="0">
      <formula>AND(D11&lt;&gt;"",ISNUMBER(D11),ABS(D11-Claves!$A$383)&lt;=5.1000000000000006e-05)</formula>
    </cfRule>
    <cfRule type="expression" priority="16" dxfId="1">
      <formula>AND(D11&lt;&gt;"",OR(NOT(ISNUMBER(D11)),ABS(D11-Claves!$A$383)&gt;5.1000000000000006e-05))</formula>
    </cfRule>
  </conditionalFormatting>
  <conditionalFormatting sqref="E11">
    <cfRule type="expression" priority="17" dxfId="0">
      <formula>AND(E11&lt;&gt;"",ISNUMBER(E11),ABS(E11-Claves!$A$384)&lt;=0.1)</formula>
    </cfRule>
    <cfRule type="expression" priority="18" dxfId="1">
      <formula>AND(E11&lt;&gt;"",OR(NOT(ISNUMBER(E11)),ABS(E11-Claves!$A$384)&gt;0.1))</formula>
    </cfRule>
  </conditionalFormatting>
  <conditionalFormatting sqref="C12">
    <cfRule type="expression" priority="19" dxfId="0">
      <formula>AND(C12&lt;&gt;"",ISNUMBER(C12),ABS(C12-Claves!$A$385)&lt;=0.108)</formula>
    </cfRule>
    <cfRule type="expression" priority="20" dxfId="1">
      <formula>AND(C12&lt;&gt;"",OR(NOT(ISNUMBER(C12)),ABS(C12-Claves!$A$385)&gt;0.108))</formula>
    </cfRule>
  </conditionalFormatting>
  <conditionalFormatting sqref="D12">
    <cfRule type="expression" priority="21" dxfId="0">
      <formula>AND(D12&lt;&gt;"",ISNUMBER(D12),ABS(D12-Claves!$A$386)&lt;=5.1000000000000006e-05)</formula>
    </cfRule>
    <cfRule type="expression" priority="22" dxfId="1">
      <formula>AND(D12&lt;&gt;"",OR(NOT(ISNUMBER(D12)),ABS(D12-Claves!$A$386)&gt;5.1000000000000006e-05))</formula>
    </cfRule>
  </conditionalFormatting>
  <conditionalFormatting sqref="E12">
    <cfRule type="expression" priority="23" dxfId="0">
      <formula>AND(E12&lt;&gt;"",ISNUMBER(E12),ABS(E12-Claves!$A$387)&lt;=0.09890109890109891)</formula>
    </cfRule>
    <cfRule type="expression" priority="24" dxfId="1">
      <formula>AND(E12&lt;&gt;"",OR(NOT(ISNUMBER(E12)),ABS(E12-Claves!$A$387)&gt;0.09890109890109891))</formula>
    </cfRule>
  </conditionalFormatting>
  <conditionalFormatting sqref="C13">
    <cfRule type="expression" priority="25" dxfId="0">
      <formula>AND(C13&lt;&gt;"",ISNUMBER(C13),ABS(C13-Claves!$A$388)&lt;=0.11359999999999999)</formula>
    </cfRule>
    <cfRule type="expression" priority="26" dxfId="1">
      <formula>AND(C13&lt;&gt;"",OR(NOT(ISNUMBER(C13)),ABS(C13-Claves!$A$388)&gt;0.11359999999999999))</formula>
    </cfRule>
  </conditionalFormatting>
  <conditionalFormatting sqref="D13">
    <cfRule type="expression" priority="27" dxfId="0">
      <formula>AND(D13&lt;&gt;"",ISNUMBER(D13),ABS(D13-Claves!$A$389)&lt;=5.1851851851851816e-05)</formula>
    </cfRule>
    <cfRule type="expression" priority="28" dxfId="1">
      <formula>AND(D13&lt;&gt;"",OR(NOT(ISNUMBER(D13)),ABS(D13-Claves!$A$389)&gt;5.1851851851851816e-05))</formula>
    </cfRule>
  </conditionalFormatting>
  <conditionalFormatting sqref="E13">
    <cfRule type="expression" priority="29" dxfId="0">
      <formula>AND(E13&lt;&gt;"",ISNUMBER(E13),ABS(E13-Claves!$A$390)&lt;=0.10402930402930405)</formula>
    </cfRule>
    <cfRule type="expression" priority="30" dxfId="1">
      <formula>AND(E13&lt;&gt;"",OR(NOT(ISNUMBER(E13)),ABS(E13-Claves!$A$390)&gt;0.10402930402930405))</formula>
    </cfRule>
  </conditionalFormatting>
  <conditionalFormatting sqref="B16">
    <cfRule type="expression" priority="31" dxfId="0">
      <formula>LEFT($C16,1)="✔"</formula>
    </cfRule>
    <cfRule type="expression" priority="32" dxfId="1">
      <formula>LEFT($C16,1)="✘"</formula>
    </cfRule>
  </conditionalFormatting>
  <conditionalFormatting sqref="C16:I16">
    <cfRule type="expression" priority="33" dxfId="2">
      <formula>LEFT($C16,1)="✔"</formula>
    </cfRule>
    <cfRule type="expression" priority="34" dxfId="3">
      <formula>LEFT($C16,1)="✘"</formula>
    </cfRule>
  </conditionalFormatting>
  <conditionalFormatting sqref="B17">
    <cfRule type="expression" priority="35" dxfId="0">
      <formula>LEFT($C17,1)="✔"</formula>
    </cfRule>
    <cfRule type="expression" priority="36" dxfId="1">
      <formula>LEFT($C17,1)="✘"</formula>
    </cfRule>
  </conditionalFormatting>
  <conditionalFormatting sqref="C17:I17">
    <cfRule type="expression" priority="37" dxfId="2">
      <formula>LEFT($C17,1)="✔"</formula>
    </cfRule>
    <cfRule type="expression" priority="38" dxfId="3">
      <formula>LEFT($C17,1)="✘"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A86F00"/>
    <outlinePr summaryBelow="1" summaryRight="1"/>
    <pageSetUpPr/>
  </sheetPr>
  <dimension ref="A1:I17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9" t="inlineStr">
        <is>
          <t>Índices y tasas · Nivel 2 · Con cabeceras</t>
        </is>
      </c>
      <c r="B1" s="30" t="n"/>
      <c r="C1" s="30" t="n"/>
      <c r="D1" s="30" t="n"/>
      <c r="E1" s="30" t="n"/>
      <c r="F1" s="30" t="n"/>
      <c r="G1" s="30" t="n"/>
    </row>
    <row r="2">
      <c r="E2" s="8" t="inlineStr">
        <is>
          <t>Aciertos:</t>
        </is>
      </c>
      <c r="F2" s="9">
        <f>SUMPRODUCT(--(LEFT($C$1:$C$23,1)="✔"))</f>
        <v/>
      </c>
      <c r="G2" s="8" t="inlineStr">
        <is>
          <t>de 3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Tasas de variación anual del número de afiliados a un sindicato: 2021 +4 %, 2022 +6 %, 2023 −3 %, 2024 +5 %, 2025 +2 %. Base 2020 = 100.</t>
        </is>
      </c>
    </row>
    <row r="6">
      <c r="A6" s="15" t="inlineStr">
        <is>
          <t>Año</t>
        </is>
      </c>
      <c r="B6" s="15" t="inlineStr">
        <is>
          <t>Tasa</t>
        </is>
      </c>
      <c r="C6" s="15" t="inlineStr">
        <is>
          <t>Índice (2020 = 100)</t>
        </is>
      </c>
    </row>
    <row r="7">
      <c r="A7" s="12" t="n">
        <v>2020</v>
      </c>
      <c r="B7" s="12" t="n"/>
      <c r="C7" s="18" t="n"/>
    </row>
    <row r="8">
      <c r="A8" s="12" t="n">
        <v>2021</v>
      </c>
      <c r="B8" s="12" t="n">
        <v>0.04</v>
      </c>
      <c r="C8" s="18" t="n"/>
    </row>
    <row r="9">
      <c r="A9" s="12" t="n">
        <v>2022</v>
      </c>
      <c r="B9" s="12" t="n">
        <v>0.06</v>
      </c>
      <c r="C9" s="18" t="n"/>
    </row>
    <row r="10">
      <c r="A10" s="12" t="n">
        <v>2023</v>
      </c>
      <c r="B10" s="12" t="n">
        <v>-0.03</v>
      </c>
      <c r="C10" s="18" t="n"/>
    </row>
    <row r="11">
      <c r="A11" s="12" t="n">
        <v>2024</v>
      </c>
      <c r="B11" s="12" t="n">
        <v>0.05</v>
      </c>
      <c r="C11" s="18" t="n"/>
    </row>
    <row r="12">
      <c r="A12" s="12" t="n">
        <v>2025</v>
      </c>
      <c r="B12" s="12" t="n">
        <v>0.02</v>
      </c>
      <c r="C12" s="18" t="n"/>
    </row>
    <row r="13"/>
    <row r="14">
      <c r="A14" s="31" t="inlineStr">
        <is>
          <t>Preguntas</t>
        </is>
      </c>
    </row>
    <row r="15">
      <c r="A15" s="19" t="inlineStr">
        <is>
          <t>Tasa acumulada 2020-2025 (decimal)</t>
        </is>
      </c>
      <c r="B15" s="20" t="n"/>
      <c r="C15" s="19">
        <f>IF(B15="","",IF(AND(ISNUMBER(B15),OR(ABS(B15-Claves!$A$399)&lt;=0.00014525028800000018,ABS(B15/100-Claves!$A$399)&lt;=0.00014525028800000018)),"✔ Bien",IF(NOT(ISNUMBER(B15)),"✘ Escribe solo el número (sin texto ni %).",IF(OR(ABS(B15-0.14)&lt;=0.00014000000000000001,ABS(B15/100-0.14)&lt;=0.00014000000000000001),"✘ Los porcentajes no se suman: se multiplican (1,04 × 1,06 × …).","✘ Revisa el cálculo."))))</f>
        <v/>
      </c>
    </row>
    <row r="16">
      <c r="A16" s="19" t="inlineStr">
        <is>
          <t>Tasa media anual (decimal)</t>
        </is>
      </c>
      <c r="B16" s="20" t="n"/>
      <c r="C16" s="19">
        <f>IF(B16="","",IF(AND(ISNUMBER(B16),OR(ABS(B16-Claves!$A$400)&lt;=5.1000000000000006e-05,ABS(B16/100-Claves!$A$400)&lt;=5.1000000000000006e-05)),"✔ Bien",IF(NOT(ISNUMBER(B16)),"✘ Escribe solo el número (sin texto ni %).",IF(OR(ABS(B16-0.028000000000000004)&lt;=5.1000000000000006e-05,ABS(B16/100-0.028000000000000004)&lt;=5.1000000000000006e-05),"✘ Usa la media geométrica, no la aritmética.","✘ Revisa el cálculo."))))</f>
        <v/>
      </c>
    </row>
    <row r="17" ht="30" customHeight="1">
      <c r="A17" s="19" t="inlineStr">
        <is>
          <t>Índice de 2020 con base 2025 (propiedad de inversión)</t>
        </is>
      </c>
      <c r="B17" s="20" t="n"/>
      <c r="C17" s="19">
        <f>IF(B17="","",IF(AND(ISNUMBER(B17),ABS(B17-Claves!$A$401)&lt;=0.08731715769714783),"✔ Bien",IF(NOT(ISNUMBER(B17)),"✘ Escribe solo el número (sin texto ni %).","✘ Revisa el cálculo.")))</f>
        <v/>
      </c>
    </row>
  </sheetData>
  <mergeCells count="3">
    <mergeCell ref="C15:I15"/>
    <mergeCell ref="C17:I17"/>
    <mergeCell ref="C16:I16"/>
  </mergeCells>
  <conditionalFormatting sqref="C7">
    <cfRule type="expression" priority="1" dxfId="0">
      <formula>AND(C7&lt;&gt;"",ISNUMBER(C7),ABS(C7-Claves!$A$393)&lt;=0.1)</formula>
    </cfRule>
    <cfRule type="expression" priority="2" dxfId="1">
      <formula>AND(C7&lt;&gt;"",OR(NOT(ISNUMBER(C7)),ABS(C7-Claves!$A$393)&gt;0.1))</formula>
    </cfRule>
  </conditionalFormatting>
  <conditionalFormatting sqref="C8">
    <cfRule type="expression" priority="3" dxfId="0">
      <formula>AND(C8&lt;&gt;"",ISNUMBER(C8),ABS(C8-Claves!$A$394)&lt;=0.10400000000000001)</formula>
    </cfRule>
    <cfRule type="expression" priority="4" dxfId="1">
      <formula>AND(C8&lt;&gt;"",OR(NOT(ISNUMBER(C8)),ABS(C8-Claves!$A$394)&gt;0.10400000000000001))</formula>
    </cfRule>
  </conditionalFormatting>
  <conditionalFormatting sqref="C9">
    <cfRule type="expression" priority="5" dxfId="0">
      <formula>AND(C9&lt;&gt;"",ISNUMBER(C9),ABS(C9-Claves!$A$395)&lt;=0.11024)</formula>
    </cfRule>
    <cfRule type="expression" priority="6" dxfId="1">
      <formula>AND(C9&lt;&gt;"",OR(NOT(ISNUMBER(C9)),ABS(C9-Claves!$A$395)&gt;0.11024))</formula>
    </cfRule>
  </conditionalFormatting>
  <conditionalFormatting sqref="C10">
    <cfRule type="expression" priority="7" dxfId="0">
      <formula>AND(C10&lt;&gt;"",ISNUMBER(C10),ABS(C10-Claves!$A$396)&lt;=0.10693280000000001)</formula>
    </cfRule>
    <cfRule type="expression" priority="8" dxfId="1">
      <formula>AND(C10&lt;&gt;"",OR(NOT(ISNUMBER(C10)),ABS(C10-Claves!$A$396)&gt;0.10693280000000001))</formula>
    </cfRule>
  </conditionalFormatting>
  <conditionalFormatting sqref="C11">
    <cfRule type="expression" priority="9" dxfId="0">
      <formula>AND(C11&lt;&gt;"",ISNUMBER(C11),ABS(C11-Claves!$A$397)&lt;=0.11227944000000001)</formula>
    </cfRule>
    <cfRule type="expression" priority="10" dxfId="1">
      <formula>AND(C11&lt;&gt;"",OR(NOT(ISNUMBER(C11)),ABS(C11-Claves!$A$397)&gt;0.11227944000000001))</formula>
    </cfRule>
  </conditionalFormatting>
  <conditionalFormatting sqref="C12">
    <cfRule type="expression" priority="11" dxfId="0">
      <formula>AND(C12&lt;&gt;"",ISNUMBER(C12),ABS(C12-Claves!$A$398)&lt;=0.11452502880000001)</formula>
    </cfRule>
    <cfRule type="expression" priority="12" dxfId="1">
      <formula>AND(C12&lt;&gt;"",OR(NOT(ISNUMBER(C12)),ABS(C12-Claves!$A$398)&gt;0.11452502880000001))</formula>
    </cfRule>
  </conditionalFormatting>
  <conditionalFormatting sqref="B15">
    <cfRule type="expression" priority="13" dxfId="0">
      <formula>LEFT($C15,1)="✔"</formula>
    </cfRule>
    <cfRule type="expression" priority="14" dxfId="1">
      <formula>LEFT($C15,1)="✘"</formula>
    </cfRule>
  </conditionalFormatting>
  <conditionalFormatting sqref="C15:I15">
    <cfRule type="expression" priority="15" dxfId="2">
      <formula>LEFT($C15,1)="✔"</formula>
    </cfRule>
    <cfRule type="expression" priority="16" dxfId="3">
      <formula>LEFT($C15,1)="✘"</formula>
    </cfRule>
  </conditionalFormatting>
  <conditionalFormatting sqref="B16">
    <cfRule type="expression" priority="17" dxfId="0">
      <formula>LEFT($C16,1)="✔"</formula>
    </cfRule>
    <cfRule type="expression" priority="18" dxfId="1">
      <formula>LEFT($C16,1)="✘"</formula>
    </cfRule>
  </conditionalFormatting>
  <conditionalFormatting sqref="C16:I16">
    <cfRule type="expression" priority="19" dxfId="2">
      <formula>LEFT($C16,1)="✔"</formula>
    </cfRule>
    <cfRule type="expression" priority="20" dxfId="3">
      <formula>LEFT($C16,1)="✘"</formula>
    </cfRule>
  </conditionalFormatting>
  <conditionalFormatting sqref="B17">
    <cfRule type="expression" priority="21" dxfId="0">
      <formula>LEFT($C17,1)="✔"</formula>
    </cfRule>
    <cfRule type="expression" priority="22" dxfId="1">
      <formula>LEFT($C17,1)="✘"</formula>
    </cfRule>
  </conditionalFormatting>
  <conditionalFormatting sqref="C17:I17">
    <cfRule type="expression" priority="23" dxfId="2">
      <formula>LEFT($C17,1)="✔"</formula>
    </cfRule>
    <cfRule type="expression" priority="24" dxfId="3">
      <formula>LEFT($C17,1)="✘"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A86F00"/>
    <outlinePr summaryBelow="1" summaryRight="1"/>
    <pageSetUpPr/>
  </sheetPr>
  <dimension ref="A1:I13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9" t="inlineStr">
        <is>
          <t>Índices y tasas · Nivel 3 · Sin ayuda</t>
        </is>
      </c>
      <c r="B1" s="30" t="n"/>
      <c r="C1" s="30" t="n"/>
      <c r="D1" s="30" t="n"/>
      <c r="E1" s="30" t="n"/>
      <c r="F1" s="30" t="n"/>
      <c r="G1" s="30" t="n"/>
    </row>
    <row r="2">
      <c r="E2" s="8" t="inlineStr">
        <is>
          <t>Aciertos:</t>
        </is>
      </c>
      <c r="F2" s="9">
        <f>SUMPRODUCT(--(LEFT($C$1:$C$19,1)="✔"))</f>
        <v/>
      </c>
      <c r="G2" s="8" t="inlineStr">
        <is>
          <t>de 4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En 2023 la plantilla creció un 25 % respecto a 2022. En 2024 bajó un 10 % respecto a 2023. La de 2024 superó en un 8 % a la de 2025.</t>
        </is>
      </c>
    </row>
    <row r="6">
      <c r="A6" s="25" t="inlineStr">
        <is>
          <t>Calcula los índices con base 2022 = 100.</t>
        </is>
      </c>
    </row>
    <row r="7">
      <c r="A7" s="31" t="inlineStr">
        <is>
          <t>Preguntas</t>
        </is>
      </c>
    </row>
    <row r="8">
      <c r="A8" s="19" t="inlineStr">
        <is>
          <t>Índice 2023</t>
        </is>
      </c>
      <c r="B8" s="20" t="n"/>
      <c r="C8" s="19">
        <f>IF(B8="","",IF(AND(ISNUMBER(B8),ABS(B8-Claves!$A$402)&lt;=0.125),"✔ Bien",IF(NOT(ISNUMBER(B8)),"✘ Escribe solo el número (sin texto ni %).","✘ Revisa el cálculo.")))</f>
        <v/>
      </c>
    </row>
    <row r="9">
      <c r="A9" s="19" t="inlineStr">
        <is>
          <t>Índice 2024</t>
        </is>
      </c>
      <c r="B9" s="20" t="n"/>
      <c r="C9" s="19">
        <f>IF(B9="","",IF(AND(ISNUMBER(B9),ABS(B9-Claves!$A$403)&lt;=0.1125),"✔ Bien",IF(NOT(ISNUMBER(B9)),"✘ Escribe solo el número (sin texto ni %).",IF(ABS(B9-115)&lt;=0.115,"✘ Los porcentajes no se restan: 125 × 0,90.","✘ Revisa el cálculo."))))</f>
        <v/>
      </c>
    </row>
    <row r="10">
      <c r="A10" s="19" t="inlineStr">
        <is>
          <t>Índice 2025</t>
        </is>
      </c>
      <c r="B10" s="20" t="n"/>
      <c r="C10" s="19">
        <f>IF(B10="","",IF(AND(ISNUMBER(B10),ABS(B10-Claves!$A$404)&lt;=0.10416666666666666),"✔ Bien",IF(NOT(ISNUMBER(B10)),"✘ Escribe solo el número (sin texto ni %).",IF(ABS(B10-103.5)&lt;=0.10350000000000001,"✘ ""2024 superó en un 8 % a 2025"" → 2024 = 1,08 × 2025. Hay que DIVIDIR entre 1,08.","✘ Revisa el cálculo."))))</f>
        <v/>
      </c>
    </row>
    <row r="11"/>
    <row r="12">
      <c r="A12" s="11" t="inlineStr">
        <is>
          <t>Una cuenta da un 4,5 % anual.</t>
        </is>
      </c>
    </row>
    <row r="13">
      <c r="A13" s="19" t="inlineStr">
        <is>
          <t>Tasa mensual equivalente (decimal)</t>
        </is>
      </c>
      <c r="B13" s="20" t="n"/>
      <c r="C13" s="19">
        <f>IF(B13="","",IF(AND(ISNUMBER(B13),OR(ABS(B13-Claves!$A$405)&lt;=5.1e-06,ABS(B13/100-Claves!$A$405)&lt;=5.1e-06)),"✔ Bien",IF(NOT(ISNUMBER(B13)),"✘ Escribe solo el número (sin texto ni %).",IF(OR(ABS(B13-0.00375)&lt;=5.1e-06,ABS(B13/100-0.00375)&lt;=5.1e-06),"✘ No se divide entre 12: (1,045)^(1/12) − 1.","✘ Revisa el cálculo."))))</f>
        <v/>
      </c>
    </row>
  </sheetData>
  <mergeCells count="4">
    <mergeCell ref="C13:I13"/>
    <mergeCell ref="C8:I8"/>
    <mergeCell ref="C10:I10"/>
    <mergeCell ref="C9:I9"/>
  </mergeCells>
  <conditionalFormatting sqref="B8">
    <cfRule type="expression" priority="1" dxfId="0">
      <formula>LEFT($C8,1)="✔"</formula>
    </cfRule>
    <cfRule type="expression" priority="2" dxfId="1">
      <formula>LEFT($C8,1)="✘"</formula>
    </cfRule>
  </conditionalFormatting>
  <conditionalFormatting sqref="C8:I8">
    <cfRule type="expression" priority="3" dxfId="2">
      <formula>LEFT($C8,1)="✔"</formula>
    </cfRule>
    <cfRule type="expression" priority="4" dxfId="3">
      <formula>LEFT($C8,1)="✘"</formula>
    </cfRule>
  </conditionalFormatting>
  <conditionalFormatting sqref="B9">
    <cfRule type="expression" priority="5" dxfId="0">
      <formula>LEFT($C9,1)="✔"</formula>
    </cfRule>
    <cfRule type="expression" priority="6" dxfId="1">
      <formula>LEFT($C9,1)="✘"</formula>
    </cfRule>
  </conditionalFormatting>
  <conditionalFormatting sqref="C9:I9">
    <cfRule type="expression" priority="7" dxfId="2">
      <formula>LEFT($C9,1)="✔"</formula>
    </cfRule>
    <cfRule type="expression" priority="8" dxfId="3">
      <formula>LEFT($C9,1)="✘"</formula>
    </cfRule>
  </conditionalFormatting>
  <conditionalFormatting sqref="B10">
    <cfRule type="expression" priority="9" dxfId="0">
      <formula>LEFT($C10,1)="✔"</formula>
    </cfRule>
    <cfRule type="expression" priority="10" dxfId="1">
      <formula>LEFT($C10,1)="✘"</formula>
    </cfRule>
  </conditionalFormatting>
  <conditionalFormatting sqref="C10:I10">
    <cfRule type="expression" priority="11" dxfId="2">
      <formula>LEFT($C10,1)="✔"</formula>
    </cfRule>
    <cfRule type="expression" priority="12" dxfId="3">
      <formula>LEFT($C10,1)="✘"</formula>
    </cfRule>
  </conditionalFormatting>
  <conditionalFormatting sqref="B13">
    <cfRule type="expression" priority="13" dxfId="0">
      <formula>LEFT($C13,1)="✔"</formula>
    </cfRule>
    <cfRule type="expression" priority="14" dxfId="1">
      <formula>LEFT($C13,1)="✘"</formula>
    </cfRule>
  </conditionalFormatting>
  <conditionalFormatting sqref="C13:I13">
    <cfRule type="expression" priority="15" dxfId="2">
      <formula>LEFT($C13,1)="✔"</formula>
    </cfRule>
    <cfRule type="expression" priority="16" dxfId="3">
      <formula>LEFT($C13,1)="✘"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A86F00"/>
    <outlinePr summaryBelow="1" summaryRight="1"/>
    <pageSetUpPr/>
  </sheetPr>
  <dimension ref="A1:I28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9" t="inlineStr">
        <is>
          <t>Laspeyres, Paasche y deflactar · Nivel 1 · Con guía</t>
        </is>
      </c>
      <c r="B1" s="30" t="n"/>
      <c r="C1" s="30" t="n"/>
      <c r="D1" s="30" t="n"/>
      <c r="E1" s="30" t="n"/>
      <c r="F1" s="30" t="n"/>
      <c r="G1" s="30" t="n"/>
    </row>
    <row r="2">
      <c r="E2" s="8" t="inlineStr">
        <is>
          <t>Aciertos:</t>
        </is>
      </c>
      <c r="F2" s="9">
        <f>SUMPRODUCT(--(LEFT($C$1:$C$34,1)="✔"))</f>
        <v/>
      </c>
      <c r="G2" s="8" t="inlineStr">
        <is>
          <t>de 6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Cesta de productos: precios y cantidades en el año base (2020) y en 2025.</t>
        </is>
      </c>
    </row>
    <row r="6">
      <c r="A6" s="14" t="inlineStr">
        <is>
          <t>💡 Laspeyres = Σ pₜ·q₀ / Σ p₀·q₀ × 100. Paasche = Σ pₜ·qₜ / Σ p₀·qₜ × 100. La cantidad es la MISMA arriba y abajo.</t>
        </is>
      </c>
    </row>
    <row r="7">
      <c r="A7" s="15" t="inlineStr">
        <is>
          <t>Producto</t>
        </is>
      </c>
      <c r="B7" s="15" t="inlineStr">
        <is>
          <t>p₀</t>
        </is>
      </c>
      <c r="C7" s="15" t="inlineStr">
        <is>
          <t>q₀</t>
        </is>
      </c>
      <c r="D7" s="15" t="inlineStr">
        <is>
          <t>pₜ</t>
        </is>
      </c>
      <c r="E7" s="15" t="inlineStr">
        <is>
          <t>qₜ</t>
        </is>
      </c>
      <c r="F7" s="15" t="inlineStr">
        <is>
          <t>pₜ·q₀</t>
        </is>
      </c>
      <c r="G7" s="15" t="inlineStr">
        <is>
          <t>p₀·q₀</t>
        </is>
      </c>
      <c r="H7" s="15" t="inlineStr">
        <is>
          <t>pₜ·qₜ</t>
        </is>
      </c>
      <c r="I7" s="15" t="inlineStr">
        <is>
          <t>p₀·qₜ</t>
        </is>
      </c>
    </row>
    <row r="8" ht="30" customHeight="1">
      <c r="A8" s="16" t="inlineStr">
        <is>
          <t>Pista →</t>
        </is>
      </c>
      <c r="F8" s="17" t="inlineStr">
        <is>
          <t>ej. =pₜ*q₀</t>
        </is>
      </c>
      <c r="G8" s="17" t="inlineStr">
        <is>
          <t>ej. =p₀*q₀</t>
        </is>
      </c>
      <c r="H8" s="17" t="inlineStr">
        <is>
          <t>ej. =pₜ*qₜ</t>
        </is>
      </c>
      <c r="I8" s="17" t="inlineStr">
        <is>
          <t>ej. =p₀*qₜ</t>
        </is>
      </c>
    </row>
    <row r="9">
      <c r="A9" s="12" t="inlineStr">
        <is>
          <t>Pan</t>
        </is>
      </c>
      <c r="B9" s="12" t="n">
        <v>1.1</v>
      </c>
      <c r="C9" s="12" t="n">
        <v>320</v>
      </c>
      <c r="D9" s="12" t="n">
        <v>1.3</v>
      </c>
      <c r="E9" s="12" t="n">
        <v>300</v>
      </c>
      <c r="F9" s="18" t="n"/>
      <c r="G9" s="18" t="n"/>
      <c r="H9" s="18" t="n"/>
      <c r="I9" s="18" t="n"/>
    </row>
    <row r="10">
      <c r="A10" s="12" t="inlineStr">
        <is>
          <t>Leche</t>
        </is>
      </c>
      <c r="B10" s="12" t="n">
        <v>0.95</v>
      </c>
      <c r="C10" s="12" t="n">
        <v>210</v>
      </c>
      <c r="D10" s="12" t="n">
        <v>1.05</v>
      </c>
      <c r="E10" s="12" t="n">
        <v>220</v>
      </c>
      <c r="F10" s="18" t="n"/>
      <c r="G10" s="18" t="n"/>
      <c r="H10" s="18" t="n"/>
      <c r="I10" s="18" t="n"/>
    </row>
    <row r="11">
      <c r="A11" s="12" t="inlineStr">
        <is>
          <t>Fruta</t>
        </is>
      </c>
      <c r="B11" s="12" t="n">
        <v>2.2</v>
      </c>
      <c r="C11" s="12" t="n">
        <v>150</v>
      </c>
      <c r="D11" s="12" t="n">
        <v>2.5</v>
      </c>
      <c r="E11" s="12" t="n">
        <v>140</v>
      </c>
      <c r="F11" s="18" t="n"/>
      <c r="G11" s="18" t="n"/>
      <c r="H11" s="18" t="n"/>
      <c r="I11" s="18" t="n"/>
    </row>
    <row r="12">
      <c r="A12" s="12" t="inlineStr">
        <is>
          <t>Aceite</t>
        </is>
      </c>
      <c r="B12" s="12" t="n">
        <v>6.5</v>
      </c>
      <c r="C12" s="12" t="n">
        <v>30</v>
      </c>
      <c r="D12" s="12" t="n">
        <v>9</v>
      </c>
      <c r="E12" s="12" t="n">
        <v>25</v>
      </c>
      <c r="F12" s="18" t="n"/>
      <c r="G12" s="18" t="n"/>
      <c r="H12" s="18" t="n"/>
      <c r="I12" s="18" t="n"/>
    </row>
    <row r="13"/>
    <row r="14">
      <c r="A14" s="31" t="inlineStr">
        <is>
          <t>Preguntas</t>
        </is>
      </c>
    </row>
    <row r="15">
      <c r="A15" s="19" t="inlineStr">
        <is>
          <t>Índice de Laspeyres de precios</t>
        </is>
      </c>
      <c r="B15" s="20" t="n"/>
      <c r="C15" s="19">
        <f>IF(B15="","",IF(AND(ISNUMBER(B15),ABS(B15-Claves!$A$422)&lt;=0.11904319554110543),"✔ Bien",IF(NOT(ISNUMBER(B15)),"✘ Escribe solo el número (sin texto ni %).",IF(ABS(B15-118.47449232293215)&lt;=0.11847449232293215,"✘ Ese es Paasche. Laspeyres usa las cantidades del año BASE (q₀).",IF(ABS(B15-84.00312134217714)&lt;=0.08400312134217713,"✘ Está al revés: arriba van los precios de 2025.","✘ Revisa el cálculo.")))))</f>
        <v/>
      </c>
    </row>
    <row r="16">
      <c r="A16" s="19" t="inlineStr">
        <is>
          <t>Índice de Paasche de precios</t>
        </is>
      </c>
      <c r="B16" s="20" t="n"/>
      <c r="C16" s="19">
        <f>IF(B16="","",IF(AND(ISNUMBER(B16),ABS(B16-Claves!$A$423)&lt;=0.11847449232293215),"✔ Bien",IF(NOT(ISNUMBER(B16)),"✘ Escribe solo el número (sin texto ni %).",IF(ABS(B16-119.04319554110543)&lt;=0.11904319554110543,"✘ Ese es Laspeyres. Paasche usa las cantidades ACTUALES (qₜ).","✘ Revisa el cálculo."))))</f>
        <v/>
      </c>
    </row>
    <row r="17">
      <c r="A17" s="19" t="inlineStr">
        <is>
          <t>Índice de Fisher</t>
        </is>
      </c>
      <c r="B17" s="20" t="n"/>
      <c r="C17" s="19">
        <f>IF(B17="","",IF(AND(ISNUMBER(B17),ABS(B17-Claves!$A$424)&lt;=0.1187585035112518),"✔ Bien",IF(NOT(ISNUMBER(B17)),"✘ Escribe solo el número (sin texto ni %).","✘ Revisa el cálculo.")))</f>
        <v/>
      </c>
    </row>
    <row r="18"/>
    <row r="19">
      <c r="A19" s="11" t="inlineStr">
        <is>
          <t>Salario mensual (€) e IPC (2022 = 100):</t>
        </is>
      </c>
    </row>
    <row r="20">
      <c r="A20" s="15" t="inlineStr">
        <is>
          <t>Año</t>
        </is>
      </c>
      <c r="B20" s="15" t="inlineStr">
        <is>
          <t>Salario</t>
        </is>
      </c>
      <c r="C20" s="15" t="inlineStr">
        <is>
          <t>IPC</t>
        </is>
      </c>
    </row>
    <row r="21">
      <c r="A21" s="12" t="n">
        <v>2022</v>
      </c>
      <c r="B21" s="12" t="n">
        <v>1500</v>
      </c>
      <c r="C21" s="12" t="n">
        <v>100</v>
      </c>
    </row>
    <row r="22">
      <c r="A22" s="12" t="n">
        <v>2023</v>
      </c>
      <c r="B22" s="12" t="n">
        <v>1560</v>
      </c>
      <c r="C22" s="12" t="n">
        <v>103.2</v>
      </c>
    </row>
    <row r="23">
      <c r="A23" s="12" t="n">
        <v>2024</v>
      </c>
      <c r="B23" s="12" t="n">
        <v>1610</v>
      </c>
      <c r="C23" s="12" t="n">
        <v>106.9</v>
      </c>
    </row>
    <row r="24">
      <c r="A24" s="12" t="n">
        <v>2025</v>
      </c>
      <c r="B24" s="12" t="n">
        <v>1650</v>
      </c>
      <c r="C24" s="12" t="n">
        <v>110.1</v>
      </c>
    </row>
    <row r="25"/>
    <row r="26">
      <c r="A26" s="19" t="inlineStr">
        <is>
          <t>Salario real de 2025 en € de 2022</t>
        </is>
      </c>
      <c r="B26" s="20" t="n"/>
      <c r="C26" s="19">
        <f>IF(B26="","",IF(AND(ISNUMBER(B26),ABS(B26-Claves!$A$425)&lt;=1.4986376021798367),"✔ Bien",IF(NOT(ISNUMBER(B26)),"✘ Escribe solo el número (sin texto ni %).",IF(ABS(B26-1816.65)&lt;=1.81665,"✘ Para deflactar se DIVIDE entre el IPC (× 100).","✘ Revisa el cálculo."))))</f>
        <v/>
      </c>
    </row>
    <row r="27">
      <c r="A27" s="19" t="inlineStr">
        <is>
          <t>Variación nominal 2022-2025 (decimal)</t>
        </is>
      </c>
      <c r="B27" s="20" t="n"/>
      <c r="C27" s="19">
        <f>IF(B27="","",IF(AND(ISNUMBER(B27),OR(ABS(B27-Claves!$A$426)&lt;=0.00010000000000000009,ABS(B27/100-Claves!$A$426)&lt;=0.00010000000000000009)),"✔ Bien",IF(NOT(ISNUMBER(B27)),"✘ Escribe solo el número (sin texto ni %).","✘ Revisa el cálculo.")))</f>
        <v/>
      </c>
    </row>
    <row r="28">
      <c r="A28" s="19" t="inlineStr">
        <is>
          <t>Variación real 2022-2025 (decimal)</t>
        </is>
      </c>
      <c r="B28" s="20" t="n"/>
      <c r="C28" s="19">
        <f>IF(B28="","",IF(AND(ISNUMBER(B28),OR(ABS(B28-Claves!$A$427)&lt;=5.1000000000000006e-05,ABS(B28/100-Claves!$A$427)&lt;=5.1000000000000006e-05)),"✔ Bien",IF(NOT(ISNUMBER(B28)),"✘ Escribe solo el número (sin texto ni %).",IF(OR(ABS(B28--0.0009999999999998899)&lt;=5.1000000000000006e-05,ABS(B28/100--0.0009999999999998899)&lt;=5.1000000000000006e-05),"✘ Los porcentajes no se restan: compara el salario real con el de 2022.","✘ Revisa el cálculo."))))</f>
        <v/>
      </c>
    </row>
  </sheetData>
  <mergeCells count="6">
    <mergeCell ref="C28:I28"/>
    <mergeCell ref="C26:I26"/>
    <mergeCell ref="C17:I17"/>
    <mergeCell ref="C16:I16"/>
    <mergeCell ref="C15:I15"/>
    <mergeCell ref="C27:I27"/>
  </mergeCells>
  <conditionalFormatting sqref="F9">
    <cfRule type="expression" priority="1" dxfId="0">
      <formula>AND(F9&lt;&gt;"",ISNUMBER(F9),ABS(F9-Claves!$A$406)&lt;=0.41600000000000004)</formula>
    </cfRule>
    <cfRule type="expression" priority="2" dxfId="1">
      <formula>AND(F9&lt;&gt;"",OR(NOT(ISNUMBER(F9)),ABS(F9-Claves!$A$406)&gt;0.41600000000000004))</formula>
    </cfRule>
  </conditionalFormatting>
  <conditionalFormatting sqref="G9">
    <cfRule type="expression" priority="3" dxfId="0">
      <formula>AND(G9&lt;&gt;"",ISNUMBER(G9),ABS(G9-Claves!$A$407)&lt;=0.352)</formula>
    </cfRule>
    <cfRule type="expression" priority="4" dxfId="1">
      <formula>AND(G9&lt;&gt;"",OR(NOT(ISNUMBER(G9)),ABS(G9-Claves!$A$407)&gt;0.352))</formula>
    </cfRule>
  </conditionalFormatting>
  <conditionalFormatting sqref="H9">
    <cfRule type="expression" priority="5" dxfId="0">
      <formula>AND(H9&lt;&gt;"",ISNUMBER(H9),ABS(H9-Claves!$A$408)&lt;=0.39)</formula>
    </cfRule>
    <cfRule type="expression" priority="6" dxfId="1">
      <formula>AND(H9&lt;&gt;"",OR(NOT(ISNUMBER(H9)),ABS(H9-Claves!$A$408)&gt;0.39))</formula>
    </cfRule>
  </conditionalFormatting>
  <conditionalFormatting sqref="I9">
    <cfRule type="expression" priority="7" dxfId="0">
      <formula>AND(I9&lt;&gt;"",ISNUMBER(I9),ABS(I9-Claves!$A$409)&lt;=0.33)</formula>
    </cfRule>
    <cfRule type="expression" priority="8" dxfId="1">
      <formula>AND(I9&lt;&gt;"",OR(NOT(ISNUMBER(I9)),ABS(I9-Claves!$A$409)&gt;0.33))</formula>
    </cfRule>
  </conditionalFormatting>
  <conditionalFormatting sqref="F10">
    <cfRule type="expression" priority="9" dxfId="0">
      <formula>AND(F10&lt;&gt;"",ISNUMBER(F10),ABS(F10-Claves!$A$410)&lt;=0.2205)</formula>
    </cfRule>
    <cfRule type="expression" priority="10" dxfId="1">
      <formula>AND(F10&lt;&gt;"",OR(NOT(ISNUMBER(F10)),ABS(F10-Claves!$A$410)&gt;0.2205))</formula>
    </cfRule>
  </conditionalFormatting>
  <conditionalFormatting sqref="G10">
    <cfRule type="expression" priority="11" dxfId="0">
      <formula>AND(G10&lt;&gt;"",ISNUMBER(G10),ABS(G10-Claves!$A$411)&lt;=0.1995)</formula>
    </cfRule>
    <cfRule type="expression" priority="12" dxfId="1">
      <formula>AND(G10&lt;&gt;"",OR(NOT(ISNUMBER(G10)),ABS(G10-Claves!$A$411)&gt;0.1995))</formula>
    </cfRule>
  </conditionalFormatting>
  <conditionalFormatting sqref="H10">
    <cfRule type="expression" priority="13" dxfId="0">
      <formula>AND(H10&lt;&gt;"",ISNUMBER(H10),ABS(H10-Claves!$A$412)&lt;=0.231)</formula>
    </cfRule>
    <cfRule type="expression" priority="14" dxfId="1">
      <formula>AND(H10&lt;&gt;"",OR(NOT(ISNUMBER(H10)),ABS(H10-Claves!$A$412)&gt;0.231))</formula>
    </cfRule>
  </conditionalFormatting>
  <conditionalFormatting sqref="I10">
    <cfRule type="expression" priority="15" dxfId="0">
      <formula>AND(I10&lt;&gt;"",ISNUMBER(I10),ABS(I10-Claves!$A$413)&lt;=0.209)</formula>
    </cfRule>
    <cfRule type="expression" priority="16" dxfId="1">
      <formula>AND(I10&lt;&gt;"",OR(NOT(ISNUMBER(I10)),ABS(I10-Claves!$A$413)&gt;0.209))</formula>
    </cfRule>
  </conditionalFormatting>
  <conditionalFormatting sqref="F11">
    <cfRule type="expression" priority="17" dxfId="0">
      <formula>AND(F11&lt;&gt;"",ISNUMBER(F11),ABS(F11-Claves!$A$414)&lt;=0.375)</formula>
    </cfRule>
    <cfRule type="expression" priority="18" dxfId="1">
      <formula>AND(F11&lt;&gt;"",OR(NOT(ISNUMBER(F11)),ABS(F11-Claves!$A$414)&gt;0.375))</formula>
    </cfRule>
  </conditionalFormatting>
  <conditionalFormatting sqref="G11">
    <cfRule type="expression" priority="19" dxfId="0">
      <formula>AND(G11&lt;&gt;"",ISNUMBER(G11),ABS(G11-Claves!$A$415)&lt;=0.33)</formula>
    </cfRule>
    <cfRule type="expression" priority="20" dxfId="1">
      <formula>AND(G11&lt;&gt;"",OR(NOT(ISNUMBER(G11)),ABS(G11-Claves!$A$415)&gt;0.33))</formula>
    </cfRule>
  </conditionalFormatting>
  <conditionalFormatting sqref="H11">
    <cfRule type="expression" priority="21" dxfId="0">
      <formula>AND(H11&lt;&gt;"",ISNUMBER(H11),ABS(H11-Claves!$A$416)&lt;=0.35000000000000003)</formula>
    </cfRule>
    <cfRule type="expression" priority="22" dxfId="1">
      <formula>AND(H11&lt;&gt;"",OR(NOT(ISNUMBER(H11)),ABS(H11-Claves!$A$416)&gt;0.35000000000000003))</formula>
    </cfRule>
  </conditionalFormatting>
  <conditionalFormatting sqref="I11">
    <cfRule type="expression" priority="23" dxfId="0">
      <formula>AND(I11&lt;&gt;"",ISNUMBER(I11),ABS(I11-Claves!$A$417)&lt;=0.308)</formula>
    </cfRule>
    <cfRule type="expression" priority="24" dxfId="1">
      <formula>AND(I11&lt;&gt;"",OR(NOT(ISNUMBER(I11)),ABS(I11-Claves!$A$417)&gt;0.308))</formula>
    </cfRule>
  </conditionalFormatting>
  <conditionalFormatting sqref="F12">
    <cfRule type="expression" priority="25" dxfId="0">
      <formula>AND(F12&lt;&gt;"",ISNUMBER(F12),ABS(F12-Claves!$A$418)&lt;=0.27)</formula>
    </cfRule>
    <cfRule type="expression" priority="26" dxfId="1">
      <formula>AND(F12&lt;&gt;"",OR(NOT(ISNUMBER(F12)),ABS(F12-Claves!$A$418)&gt;0.27))</formula>
    </cfRule>
  </conditionalFormatting>
  <conditionalFormatting sqref="G12">
    <cfRule type="expression" priority="27" dxfId="0">
      <formula>AND(G12&lt;&gt;"",ISNUMBER(G12),ABS(G12-Claves!$A$419)&lt;=0.195)</formula>
    </cfRule>
    <cfRule type="expression" priority="28" dxfId="1">
      <formula>AND(G12&lt;&gt;"",OR(NOT(ISNUMBER(G12)),ABS(G12-Claves!$A$419)&gt;0.195))</formula>
    </cfRule>
  </conditionalFormatting>
  <conditionalFormatting sqref="H12">
    <cfRule type="expression" priority="29" dxfId="0">
      <formula>AND(H12&lt;&gt;"",ISNUMBER(H12),ABS(H12-Claves!$A$420)&lt;=0.225)</formula>
    </cfRule>
    <cfRule type="expression" priority="30" dxfId="1">
      <formula>AND(H12&lt;&gt;"",OR(NOT(ISNUMBER(H12)),ABS(H12-Claves!$A$420)&gt;0.225))</formula>
    </cfRule>
  </conditionalFormatting>
  <conditionalFormatting sqref="I12">
    <cfRule type="expression" priority="31" dxfId="0">
      <formula>AND(I12&lt;&gt;"",ISNUMBER(I12),ABS(I12-Claves!$A$421)&lt;=0.1625)</formula>
    </cfRule>
    <cfRule type="expression" priority="32" dxfId="1">
      <formula>AND(I12&lt;&gt;"",OR(NOT(ISNUMBER(I12)),ABS(I12-Claves!$A$421)&gt;0.1625))</formula>
    </cfRule>
  </conditionalFormatting>
  <conditionalFormatting sqref="B15">
    <cfRule type="expression" priority="33" dxfId="0">
      <formula>LEFT($C15,1)="✔"</formula>
    </cfRule>
    <cfRule type="expression" priority="34" dxfId="1">
      <formula>LEFT($C15,1)="✘"</formula>
    </cfRule>
  </conditionalFormatting>
  <conditionalFormatting sqref="C15:I15">
    <cfRule type="expression" priority="35" dxfId="2">
      <formula>LEFT($C15,1)="✔"</formula>
    </cfRule>
    <cfRule type="expression" priority="36" dxfId="3">
      <formula>LEFT($C15,1)="✘"</formula>
    </cfRule>
  </conditionalFormatting>
  <conditionalFormatting sqref="B16">
    <cfRule type="expression" priority="37" dxfId="0">
      <formula>LEFT($C16,1)="✔"</formula>
    </cfRule>
    <cfRule type="expression" priority="38" dxfId="1">
      <formula>LEFT($C16,1)="✘"</formula>
    </cfRule>
  </conditionalFormatting>
  <conditionalFormatting sqref="C16:I16">
    <cfRule type="expression" priority="39" dxfId="2">
      <formula>LEFT($C16,1)="✔"</formula>
    </cfRule>
    <cfRule type="expression" priority="40" dxfId="3">
      <formula>LEFT($C16,1)="✘"</formula>
    </cfRule>
  </conditionalFormatting>
  <conditionalFormatting sqref="B17">
    <cfRule type="expression" priority="41" dxfId="0">
      <formula>LEFT($C17,1)="✔"</formula>
    </cfRule>
    <cfRule type="expression" priority="42" dxfId="1">
      <formula>LEFT($C17,1)="✘"</formula>
    </cfRule>
  </conditionalFormatting>
  <conditionalFormatting sqref="C17:I17">
    <cfRule type="expression" priority="43" dxfId="2">
      <formula>LEFT($C17,1)="✔"</formula>
    </cfRule>
    <cfRule type="expression" priority="44" dxfId="3">
      <formula>LEFT($C17,1)="✘"</formula>
    </cfRule>
  </conditionalFormatting>
  <conditionalFormatting sqref="B26">
    <cfRule type="expression" priority="45" dxfId="0">
      <formula>LEFT($C26,1)="✔"</formula>
    </cfRule>
    <cfRule type="expression" priority="46" dxfId="1">
      <formula>LEFT($C26,1)="✘"</formula>
    </cfRule>
  </conditionalFormatting>
  <conditionalFormatting sqref="C26:I26">
    <cfRule type="expression" priority="47" dxfId="2">
      <formula>LEFT($C26,1)="✔"</formula>
    </cfRule>
    <cfRule type="expression" priority="48" dxfId="3">
      <formula>LEFT($C26,1)="✘"</formula>
    </cfRule>
  </conditionalFormatting>
  <conditionalFormatting sqref="B27">
    <cfRule type="expression" priority="49" dxfId="0">
      <formula>LEFT($C27,1)="✔"</formula>
    </cfRule>
    <cfRule type="expression" priority="50" dxfId="1">
      <formula>LEFT($C27,1)="✘"</formula>
    </cfRule>
  </conditionalFormatting>
  <conditionalFormatting sqref="C27:I27">
    <cfRule type="expression" priority="51" dxfId="2">
      <formula>LEFT($C27,1)="✔"</formula>
    </cfRule>
    <cfRule type="expression" priority="52" dxfId="3">
      <formula>LEFT($C27,1)="✘"</formula>
    </cfRule>
  </conditionalFormatting>
  <conditionalFormatting sqref="B28">
    <cfRule type="expression" priority="53" dxfId="0">
      <formula>LEFT($C28,1)="✔"</formula>
    </cfRule>
    <cfRule type="expression" priority="54" dxfId="1">
      <formula>LEFT($C28,1)="✘"</formula>
    </cfRule>
  </conditionalFormatting>
  <conditionalFormatting sqref="C28:I28">
    <cfRule type="expression" priority="55" dxfId="2">
      <formula>LEFT($C28,1)="✔"</formula>
    </cfRule>
    <cfRule type="expression" priority="56" dxfId="3">
      <formula>LEFT($C28,1)="✘"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A86F00"/>
    <outlinePr summaryBelow="1" summaryRight="1"/>
    <pageSetUpPr/>
  </sheetPr>
  <dimension ref="A1:I25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9" t="inlineStr">
        <is>
          <t>Laspeyres, Paasche y deflactar · Nivel 2 · Con cabeceras</t>
        </is>
      </c>
      <c r="B1" s="30" t="n"/>
      <c r="C1" s="30" t="n"/>
      <c r="D1" s="30" t="n"/>
      <c r="E1" s="30" t="n"/>
      <c r="F1" s="30" t="n"/>
      <c r="G1" s="30" t="n"/>
    </row>
    <row r="2">
      <c r="E2" s="8" t="inlineStr">
        <is>
          <t>Aciertos:</t>
        </is>
      </c>
      <c r="F2" s="9">
        <f>SUMPRODUCT(--(LEFT($C$1:$C$31,1)="✔"))</f>
        <v/>
      </c>
      <c r="G2" s="8" t="inlineStr">
        <is>
          <t>de 6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Cesta de productos: precios y cantidades en el año base (2020) y en 2025.</t>
        </is>
      </c>
    </row>
    <row r="6">
      <c r="A6" s="15" t="inlineStr">
        <is>
          <t>Producto</t>
        </is>
      </c>
      <c r="B6" s="15" t="inlineStr">
        <is>
          <t>p₀</t>
        </is>
      </c>
      <c r="C6" s="15" t="inlineStr">
        <is>
          <t>q₀</t>
        </is>
      </c>
      <c r="D6" s="15" t="inlineStr">
        <is>
          <t>pₜ</t>
        </is>
      </c>
      <c r="E6" s="15" t="inlineStr">
        <is>
          <t>qₜ</t>
        </is>
      </c>
      <c r="F6" s="15" t="inlineStr">
        <is>
          <t>pₜ·q₀</t>
        </is>
      </c>
      <c r="G6" s="15" t="inlineStr">
        <is>
          <t>p₀·q₀</t>
        </is>
      </c>
      <c r="H6" s="15" t="inlineStr">
        <is>
          <t>pₜ·qₜ</t>
        </is>
      </c>
      <c r="I6" s="15" t="inlineStr">
        <is>
          <t>p₀·qₜ</t>
        </is>
      </c>
    </row>
    <row r="7">
      <c r="A7" s="12" t="inlineStr">
        <is>
          <t>Luz</t>
        </is>
      </c>
      <c r="B7" s="12" t="n">
        <v>0.15</v>
      </c>
      <c r="C7" s="12" t="n">
        <v>3500</v>
      </c>
      <c r="D7" s="12" t="n">
        <v>0.21</v>
      </c>
      <c r="E7" s="12" t="n">
        <v>3200</v>
      </c>
      <c r="F7" s="18" t="n"/>
      <c r="G7" s="18" t="n"/>
      <c r="H7" s="18" t="n"/>
      <c r="I7" s="18" t="n"/>
    </row>
    <row r="8">
      <c r="A8" s="12" t="inlineStr">
        <is>
          <t>Gas</t>
        </is>
      </c>
      <c r="B8" s="12" t="n">
        <v>0.06</v>
      </c>
      <c r="C8" s="12" t="n">
        <v>6000</v>
      </c>
      <c r="D8" s="12" t="n">
        <v>0.09</v>
      </c>
      <c r="E8" s="12" t="n">
        <v>5200</v>
      </c>
      <c r="F8" s="18" t="n"/>
      <c r="G8" s="18" t="n"/>
      <c r="H8" s="18" t="n"/>
      <c r="I8" s="18" t="n"/>
    </row>
    <row r="9">
      <c r="A9" s="12" t="inlineStr">
        <is>
          <t>Transporte</t>
        </is>
      </c>
      <c r="B9" s="12" t="n">
        <v>1.5</v>
      </c>
      <c r="C9" s="12" t="n">
        <v>400</v>
      </c>
      <c r="D9" s="12" t="n">
        <v>1.6</v>
      </c>
      <c r="E9" s="12" t="n">
        <v>430</v>
      </c>
      <c r="F9" s="18" t="n"/>
      <c r="G9" s="18" t="n"/>
      <c r="H9" s="18" t="n"/>
      <c r="I9" s="18" t="n"/>
    </row>
    <row r="10"/>
    <row r="11">
      <c r="A11" s="31" t="inlineStr">
        <is>
          <t>Preguntas</t>
        </is>
      </c>
    </row>
    <row r="12">
      <c r="A12" s="19" t="inlineStr">
        <is>
          <t>Índice de Laspeyres de precios</t>
        </is>
      </c>
      <c r="B12" s="20" t="n"/>
      <c r="C12" s="19">
        <f>IF(B12="","",IF(AND(ISNUMBER(B12),ABS(B12-Claves!$A$440)&lt;=0.12895622895622896),"✔ Bien",IF(NOT(ISNUMBER(B12)),"✘ Escribe solo el número (sin texto ni %).",IF(ABS(B12-127.20946416144744)&lt;=0.12720946416144743,"✘ Ese es Paasche. Laspeyres usa las cantidades del año BASE (q₀).",IF(ABS(B12-77.54569190600522)&lt;=0.07754569190600522,"✘ Está al revés: arriba van los precios de 2025.","✘ Revisa el cálculo.")))))</f>
        <v/>
      </c>
    </row>
    <row r="13">
      <c r="A13" s="19" t="inlineStr">
        <is>
          <t>Índice de Paasche de precios</t>
        </is>
      </c>
      <c r="B13" s="20" t="n"/>
      <c r="C13" s="19">
        <f>IF(B13="","",IF(AND(ISNUMBER(B13),ABS(B13-Claves!$A$441)&lt;=0.12720946416144743),"✔ Bien",IF(NOT(ISNUMBER(B13)),"✘ Escribe solo el número (sin texto ni %).",IF(ABS(B13-128.95622895622895)&lt;=0.12895622895622896,"✘ Ese es Laspeyres. Paasche usa las cantidades ACTUALES (qₜ).","✘ Revisa el cálculo."))))</f>
        <v/>
      </c>
    </row>
    <row r="14">
      <c r="A14" s="19" t="inlineStr">
        <is>
          <t>Índice de Fisher</t>
        </is>
      </c>
      <c r="B14" s="20" t="n"/>
      <c r="C14" s="19">
        <f>IF(B14="","",IF(AND(ISNUMBER(B14),ABS(B14-Claves!$A$442)&lt;=0.1280798687764897),"✔ Bien",IF(NOT(ISNUMBER(B14)),"✘ Escribe solo el número (sin texto ni %).","✘ Revisa el cálculo.")))</f>
        <v/>
      </c>
    </row>
    <row r="15"/>
    <row r="16">
      <c r="A16" s="11" t="inlineStr">
        <is>
          <t>Salario mensual (€) e IPC (2022 = 100):</t>
        </is>
      </c>
    </row>
    <row r="17">
      <c r="A17" s="15" t="inlineStr">
        <is>
          <t>Año</t>
        </is>
      </c>
      <c r="B17" s="15" t="inlineStr">
        <is>
          <t>Salario</t>
        </is>
      </c>
      <c r="C17" s="15" t="inlineStr">
        <is>
          <t>IPC</t>
        </is>
      </c>
    </row>
    <row r="18">
      <c r="A18" s="12" t="n">
        <v>2022</v>
      </c>
      <c r="B18" s="12" t="n">
        <v>1800</v>
      </c>
      <c r="C18" s="12" t="n">
        <v>100</v>
      </c>
    </row>
    <row r="19">
      <c r="A19" s="12" t="n">
        <v>2023</v>
      </c>
      <c r="B19" s="12" t="n">
        <v>1830</v>
      </c>
      <c r="C19" s="12" t="n">
        <v>104.5</v>
      </c>
    </row>
    <row r="20">
      <c r="A20" s="12" t="n">
        <v>2024</v>
      </c>
      <c r="B20" s="12" t="n">
        <v>1890</v>
      </c>
      <c r="C20" s="12" t="n">
        <v>108</v>
      </c>
    </row>
    <row r="21">
      <c r="A21" s="12" t="n">
        <v>2025</v>
      </c>
      <c r="B21" s="12" t="n">
        <v>1950</v>
      </c>
      <c r="C21" s="12" t="n">
        <v>110.6</v>
      </c>
    </row>
    <row r="22"/>
    <row r="23">
      <c r="A23" s="19" t="inlineStr">
        <is>
          <t>Salario real de 2025 en € de 2022</t>
        </is>
      </c>
      <c r="B23" s="20" t="n"/>
      <c r="C23" s="19">
        <f>IF(B23="","",IF(AND(ISNUMBER(B23),ABS(B23-Claves!$A$443)&lt;=1.763110307414105),"✔ Bien",IF(NOT(ISNUMBER(B23)),"✘ Escribe solo el número (sin texto ni %).",IF(ABS(B23-2156.7)&lt;=2.1567,"✘ Para deflactar se DIVIDE entre el IPC (× 100).","✘ Revisa el cálculo."))))</f>
        <v/>
      </c>
    </row>
    <row r="24">
      <c r="A24" s="19" t="inlineStr">
        <is>
          <t>Variación nominal 2022-2025 (decimal)</t>
        </is>
      </c>
      <c r="B24" s="20" t="n"/>
      <c r="C24" s="19">
        <f>IF(B24="","",IF(AND(ISNUMBER(B24),OR(ABS(B24-Claves!$A$444)&lt;=8.333333333333326e-05,ABS(B24/100-Claves!$A$444)&lt;=8.333333333333326e-05)),"✔ Bien",IF(NOT(ISNUMBER(B24)),"✘ Escribe solo el número (sin texto ni %).","✘ Revisa el cálculo.")))</f>
        <v/>
      </c>
    </row>
    <row r="25">
      <c r="A25" s="19" t="inlineStr">
        <is>
          <t>Variación real 2022-2025 (decimal)</t>
        </is>
      </c>
      <c r="B25" s="20" t="n"/>
      <c r="C25" s="19">
        <f>IF(B25="","",IF(AND(ISNUMBER(B25),OR(ABS(B25-Claves!$A$445)&lt;=5.1000000000000006e-05,ABS(B25/100-Claves!$A$445)&lt;=5.1000000000000006e-05)),"✔ Bien",IF(NOT(ISNUMBER(B25)),"✘ Escribe solo el número (sin texto ni %).",IF(OR(ABS(B25--0.022666666666666613)&lt;=5.1000000000000006e-05,ABS(B25/100--0.022666666666666613)&lt;=5.1000000000000006e-05),"✘ Los porcentajes no se restan: compara el salario real con el de 2022.","✘ Revisa el cálculo."))))</f>
        <v/>
      </c>
    </row>
  </sheetData>
  <mergeCells count="6">
    <mergeCell ref="C14:I14"/>
    <mergeCell ref="C23:I23"/>
    <mergeCell ref="C13:I13"/>
    <mergeCell ref="C12:I12"/>
    <mergeCell ref="C24:I24"/>
    <mergeCell ref="C25:I25"/>
  </mergeCells>
  <conditionalFormatting sqref="F7">
    <cfRule type="expression" priority="1" dxfId="0">
      <formula>AND(F7&lt;&gt;"",ISNUMBER(F7),ABS(F7-Claves!$A$428)&lt;=0.735)</formula>
    </cfRule>
    <cfRule type="expression" priority="2" dxfId="1">
      <formula>AND(F7&lt;&gt;"",OR(NOT(ISNUMBER(F7)),ABS(F7-Claves!$A$428)&gt;0.735))</formula>
    </cfRule>
  </conditionalFormatting>
  <conditionalFormatting sqref="G7">
    <cfRule type="expression" priority="3" dxfId="0">
      <formula>AND(G7&lt;&gt;"",ISNUMBER(G7),ABS(G7-Claves!$A$429)&lt;=0.525)</formula>
    </cfRule>
    <cfRule type="expression" priority="4" dxfId="1">
      <formula>AND(G7&lt;&gt;"",OR(NOT(ISNUMBER(G7)),ABS(G7-Claves!$A$429)&gt;0.525))</formula>
    </cfRule>
  </conditionalFormatting>
  <conditionalFormatting sqref="H7">
    <cfRule type="expression" priority="5" dxfId="0">
      <formula>AND(H7&lt;&gt;"",ISNUMBER(H7),ABS(H7-Claves!$A$430)&lt;=0.672)</formula>
    </cfRule>
    <cfRule type="expression" priority="6" dxfId="1">
      <formula>AND(H7&lt;&gt;"",OR(NOT(ISNUMBER(H7)),ABS(H7-Claves!$A$430)&gt;0.672))</formula>
    </cfRule>
  </conditionalFormatting>
  <conditionalFormatting sqref="I7">
    <cfRule type="expression" priority="7" dxfId="0">
      <formula>AND(I7&lt;&gt;"",ISNUMBER(I7),ABS(I7-Claves!$A$431)&lt;=0.48)</formula>
    </cfRule>
    <cfRule type="expression" priority="8" dxfId="1">
      <formula>AND(I7&lt;&gt;"",OR(NOT(ISNUMBER(I7)),ABS(I7-Claves!$A$431)&gt;0.48))</formula>
    </cfRule>
  </conditionalFormatting>
  <conditionalFormatting sqref="F8">
    <cfRule type="expression" priority="9" dxfId="0">
      <formula>AND(F8&lt;&gt;"",ISNUMBER(F8),ABS(F8-Claves!$A$432)&lt;=0.54)</formula>
    </cfRule>
    <cfRule type="expression" priority="10" dxfId="1">
      <formula>AND(F8&lt;&gt;"",OR(NOT(ISNUMBER(F8)),ABS(F8-Claves!$A$432)&gt;0.54))</formula>
    </cfRule>
  </conditionalFormatting>
  <conditionalFormatting sqref="G8">
    <cfRule type="expression" priority="11" dxfId="0">
      <formula>AND(G8&lt;&gt;"",ISNUMBER(G8),ABS(G8-Claves!$A$433)&lt;=0.36)</formula>
    </cfRule>
    <cfRule type="expression" priority="12" dxfId="1">
      <formula>AND(G8&lt;&gt;"",OR(NOT(ISNUMBER(G8)),ABS(G8-Claves!$A$433)&gt;0.36))</formula>
    </cfRule>
  </conditionalFormatting>
  <conditionalFormatting sqref="H8">
    <cfRule type="expression" priority="13" dxfId="0">
      <formula>AND(H8&lt;&gt;"",ISNUMBER(H8),ABS(H8-Claves!$A$434)&lt;=0.468)</formula>
    </cfRule>
    <cfRule type="expression" priority="14" dxfId="1">
      <formula>AND(H8&lt;&gt;"",OR(NOT(ISNUMBER(H8)),ABS(H8-Claves!$A$434)&gt;0.468))</formula>
    </cfRule>
  </conditionalFormatting>
  <conditionalFormatting sqref="I8">
    <cfRule type="expression" priority="15" dxfId="0">
      <formula>AND(I8&lt;&gt;"",ISNUMBER(I8),ABS(I8-Claves!$A$435)&lt;=0.312)</formula>
    </cfRule>
    <cfRule type="expression" priority="16" dxfId="1">
      <formula>AND(I8&lt;&gt;"",OR(NOT(ISNUMBER(I8)),ABS(I8-Claves!$A$435)&gt;0.312))</formula>
    </cfRule>
  </conditionalFormatting>
  <conditionalFormatting sqref="F9">
    <cfRule type="expression" priority="17" dxfId="0">
      <formula>AND(F9&lt;&gt;"",ISNUMBER(F9),ABS(F9-Claves!$A$436)&lt;=0.64)</formula>
    </cfRule>
    <cfRule type="expression" priority="18" dxfId="1">
      <formula>AND(F9&lt;&gt;"",OR(NOT(ISNUMBER(F9)),ABS(F9-Claves!$A$436)&gt;0.64))</formula>
    </cfRule>
  </conditionalFormatting>
  <conditionalFormatting sqref="G9">
    <cfRule type="expression" priority="19" dxfId="0">
      <formula>AND(G9&lt;&gt;"",ISNUMBER(G9),ABS(G9-Claves!$A$437)&lt;=0.6)</formula>
    </cfRule>
    <cfRule type="expression" priority="20" dxfId="1">
      <formula>AND(G9&lt;&gt;"",OR(NOT(ISNUMBER(G9)),ABS(G9-Claves!$A$437)&gt;0.6))</formula>
    </cfRule>
  </conditionalFormatting>
  <conditionalFormatting sqref="H9">
    <cfRule type="expression" priority="21" dxfId="0">
      <formula>AND(H9&lt;&gt;"",ISNUMBER(H9),ABS(H9-Claves!$A$438)&lt;=0.6880000000000001)</formula>
    </cfRule>
    <cfRule type="expression" priority="22" dxfId="1">
      <formula>AND(H9&lt;&gt;"",OR(NOT(ISNUMBER(H9)),ABS(H9-Claves!$A$438)&gt;0.6880000000000001))</formula>
    </cfRule>
  </conditionalFormatting>
  <conditionalFormatting sqref="I9">
    <cfRule type="expression" priority="23" dxfId="0">
      <formula>AND(I9&lt;&gt;"",ISNUMBER(I9),ABS(I9-Claves!$A$439)&lt;=0.645)</formula>
    </cfRule>
    <cfRule type="expression" priority="24" dxfId="1">
      <formula>AND(I9&lt;&gt;"",OR(NOT(ISNUMBER(I9)),ABS(I9-Claves!$A$439)&gt;0.645))</formula>
    </cfRule>
  </conditionalFormatting>
  <conditionalFormatting sqref="B12">
    <cfRule type="expression" priority="25" dxfId="0">
      <formula>LEFT($C12,1)="✔"</formula>
    </cfRule>
    <cfRule type="expression" priority="26" dxfId="1">
      <formula>LEFT($C12,1)="✘"</formula>
    </cfRule>
  </conditionalFormatting>
  <conditionalFormatting sqref="C12:I12">
    <cfRule type="expression" priority="27" dxfId="2">
      <formula>LEFT($C12,1)="✔"</formula>
    </cfRule>
    <cfRule type="expression" priority="28" dxfId="3">
      <formula>LEFT($C12,1)="✘"</formula>
    </cfRule>
  </conditionalFormatting>
  <conditionalFormatting sqref="B13">
    <cfRule type="expression" priority="29" dxfId="0">
      <formula>LEFT($C13,1)="✔"</formula>
    </cfRule>
    <cfRule type="expression" priority="30" dxfId="1">
      <formula>LEFT($C13,1)="✘"</formula>
    </cfRule>
  </conditionalFormatting>
  <conditionalFormatting sqref="C13:I13">
    <cfRule type="expression" priority="31" dxfId="2">
      <formula>LEFT($C13,1)="✔"</formula>
    </cfRule>
    <cfRule type="expression" priority="32" dxfId="3">
      <formula>LEFT($C13,1)="✘"</formula>
    </cfRule>
  </conditionalFormatting>
  <conditionalFormatting sqref="B14">
    <cfRule type="expression" priority="33" dxfId="0">
      <formula>LEFT($C14,1)="✔"</formula>
    </cfRule>
    <cfRule type="expression" priority="34" dxfId="1">
      <formula>LEFT($C14,1)="✘"</formula>
    </cfRule>
  </conditionalFormatting>
  <conditionalFormatting sqref="C14:I14">
    <cfRule type="expression" priority="35" dxfId="2">
      <formula>LEFT($C14,1)="✔"</formula>
    </cfRule>
    <cfRule type="expression" priority="36" dxfId="3">
      <formula>LEFT($C14,1)="✘"</formula>
    </cfRule>
  </conditionalFormatting>
  <conditionalFormatting sqref="B23">
    <cfRule type="expression" priority="37" dxfId="0">
      <formula>LEFT($C23,1)="✔"</formula>
    </cfRule>
    <cfRule type="expression" priority="38" dxfId="1">
      <formula>LEFT($C23,1)="✘"</formula>
    </cfRule>
  </conditionalFormatting>
  <conditionalFormatting sqref="C23:I23">
    <cfRule type="expression" priority="39" dxfId="2">
      <formula>LEFT($C23,1)="✔"</formula>
    </cfRule>
    <cfRule type="expression" priority="40" dxfId="3">
      <formula>LEFT($C23,1)="✘"</formula>
    </cfRule>
  </conditionalFormatting>
  <conditionalFormatting sqref="B24">
    <cfRule type="expression" priority="41" dxfId="0">
      <formula>LEFT($C24,1)="✔"</formula>
    </cfRule>
    <cfRule type="expression" priority="42" dxfId="1">
      <formula>LEFT($C24,1)="✘"</formula>
    </cfRule>
  </conditionalFormatting>
  <conditionalFormatting sqref="C24:I24">
    <cfRule type="expression" priority="43" dxfId="2">
      <formula>LEFT($C24,1)="✔"</formula>
    </cfRule>
    <cfRule type="expression" priority="44" dxfId="3">
      <formula>LEFT($C24,1)="✘"</formula>
    </cfRule>
  </conditionalFormatting>
  <conditionalFormatting sqref="B25">
    <cfRule type="expression" priority="45" dxfId="0">
      <formula>LEFT($C25,1)="✔"</formula>
    </cfRule>
    <cfRule type="expression" priority="46" dxfId="1">
      <formula>LEFT($C25,1)="✘"</formula>
    </cfRule>
  </conditionalFormatting>
  <conditionalFormatting sqref="C25:I25">
    <cfRule type="expression" priority="47" dxfId="2">
      <formula>LEFT($C25,1)="✔"</formula>
    </cfRule>
    <cfRule type="expression" priority="48" dxfId="3">
      <formula>LEFT($C25,1)="✘"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A86F00"/>
    <outlinePr summaryBelow="1" summaryRight="1"/>
    <pageSetUpPr/>
  </sheetPr>
  <dimension ref="A1:I26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0" customHeight="1">
      <c r="A1" s="29" t="inlineStr">
        <is>
          <t>Laspeyres, Paasche y deflactar · Nivel 3 · Sin ayuda</t>
        </is>
      </c>
      <c r="B1" s="30" t="n"/>
      <c r="C1" s="30" t="n"/>
      <c r="D1" s="30" t="n"/>
      <c r="E1" s="30" t="n"/>
      <c r="F1" s="30" t="n"/>
      <c r="G1" s="30" t="n"/>
    </row>
    <row r="2">
      <c r="E2" s="8" t="inlineStr">
        <is>
          <t>Aciertos:</t>
        </is>
      </c>
      <c r="F2" s="9">
        <f>SUMPRODUCT(--(LEFT($C$1:$C$32,1)="✔"))</f>
        <v/>
      </c>
      <c r="G2" s="8" t="inlineStr">
        <is>
          <t>de 6</t>
        </is>
      </c>
    </row>
    <row r="3">
      <c r="A3" s="10" t="inlineStr">
        <is>
          <t>Celdas azules: datos.  Celdas amarillas: tu respuesta (se ponen verdes si está bien y rojas si no).</t>
        </is>
      </c>
    </row>
    <row r="4"/>
    <row r="5">
      <c r="A5" s="11" t="inlineStr">
        <is>
          <t>Cesta de productos: precios y cantidades en el año base (2020) y en 2025.</t>
        </is>
      </c>
    </row>
    <row r="6">
      <c r="A6" s="15" t="inlineStr">
        <is>
          <t>Producto</t>
        </is>
      </c>
      <c r="B6" s="15" t="inlineStr">
        <is>
          <t>p₀</t>
        </is>
      </c>
      <c r="C6" s="15" t="inlineStr">
        <is>
          <t>q₀</t>
        </is>
      </c>
      <c r="D6" s="15" t="inlineStr">
        <is>
          <t>pₜ</t>
        </is>
      </c>
      <c r="E6" s="15" t="inlineStr">
        <is>
          <t>qₜ</t>
        </is>
      </c>
    </row>
    <row r="7">
      <c r="A7" s="21" t="inlineStr">
        <is>
          <t>Café</t>
        </is>
      </c>
      <c r="B7" s="12" t="n">
        <v>1.2</v>
      </c>
      <c r="C7" s="12" t="n">
        <v>200</v>
      </c>
      <c r="D7" s="12" t="n">
        <v>1.5</v>
      </c>
      <c r="E7" s="12" t="n">
        <v>180</v>
      </c>
    </row>
    <row r="8">
      <c r="A8" s="21" t="inlineStr">
        <is>
          <t>Menú</t>
        </is>
      </c>
      <c r="B8" s="12" t="n">
        <v>11</v>
      </c>
      <c r="C8" s="12" t="n">
        <v>40</v>
      </c>
      <c r="D8" s="12" t="n">
        <v>13.5</v>
      </c>
      <c r="E8" s="12" t="n">
        <v>38</v>
      </c>
    </row>
    <row r="9">
      <c r="A9" s="21" t="inlineStr">
        <is>
          <t>Cine</t>
        </is>
      </c>
      <c r="B9" s="12" t="n">
        <v>7</v>
      </c>
      <c r="C9" s="12" t="n">
        <v>12</v>
      </c>
      <c r="D9" s="12" t="n">
        <v>8.5</v>
      </c>
      <c r="E9" s="12" t="n">
        <v>10</v>
      </c>
    </row>
    <row r="10">
      <c r="A10" s="21" t="inlineStr">
        <is>
          <t>Libro</t>
        </is>
      </c>
      <c r="B10" s="12" t="n">
        <v>18</v>
      </c>
      <c r="C10" s="12" t="n">
        <v>6</v>
      </c>
      <c r="D10" s="12" t="n">
        <v>20</v>
      </c>
      <c r="E10" s="12" t="n">
        <v>7</v>
      </c>
    </row>
    <row r="11"/>
    <row r="12">
      <c r="A12" s="31" t="inlineStr">
        <is>
          <t>Preguntas</t>
        </is>
      </c>
    </row>
    <row r="13">
      <c r="A13" s="19" t="inlineStr">
        <is>
          <t>Índice de Laspeyres de precios</t>
        </is>
      </c>
      <c r="B13" s="20" t="n"/>
      <c r="C13" s="19">
        <f>IF(B13="","",IF(AND(ISNUMBER(B13),ABS(B13-Claves!$A$446)&lt;=0.12178899082568807),"✔ Bien",IF(NOT(ISNUMBER(B13)),"✘ Escribe solo el número (sin texto ni %).",IF(ABS(B13-121.44578313253011)&lt;=0.12144578313253011,"✘ Ese es Paasche. Laspeyres usa las cantidades del año BASE (q₀).",IF(ABS(B13-82.10922787193974)&lt;=0.08210922787193974,"✘ Está al revés: arriba van los precios de 2025.","✘ Revisa el cálculo.")))))</f>
        <v/>
      </c>
    </row>
    <row r="14">
      <c r="A14" s="19" t="inlineStr">
        <is>
          <t>Índice de Paasche de precios</t>
        </is>
      </c>
      <c r="B14" s="20" t="n"/>
      <c r="C14" s="19">
        <f>IF(B14="","",IF(AND(ISNUMBER(B14),ABS(B14-Claves!$A$447)&lt;=0.12144578313253011),"✔ Bien",IF(NOT(ISNUMBER(B14)),"✘ Escribe solo el número (sin texto ni %).",IF(ABS(B14-121.78899082568807)&lt;=0.12178899082568807,"✘ Ese es Laspeyres. Paasche usa las cantidades ACTUALES (qₜ).","✘ Revisa el cálculo."))))</f>
        <v/>
      </c>
    </row>
    <row r="15">
      <c r="A15" s="19" t="inlineStr">
        <is>
          <t>Índice de Fisher</t>
        </is>
      </c>
      <c r="B15" s="20" t="n"/>
      <c r="C15" s="19">
        <f>IF(B15="","",IF(AND(ISNUMBER(B15),ABS(B15-Claves!$A$448)&lt;=0.12161726591132616),"✔ Bien",IF(NOT(ISNUMBER(B15)),"✘ Escribe solo el número (sin texto ni %).","✘ Revisa el cálculo.")))</f>
        <v/>
      </c>
    </row>
    <row r="16"/>
    <row r="17">
      <c r="A17" s="11" t="inlineStr">
        <is>
          <t>Salario mensual (€) e IPC (2022 = 100):</t>
        </is>
      </c>
    </row>
    <row r="18">
      <c r="A18" s="15" t="inlineStr">
        <is>
          <t>Año</t>
        </is>
      </c>
      <c r="B18" s="15" t="inlineStr">
        <is>
          <t>Salario</t>
        </is>
      </c>
      <c r="C18" s="15" t="inlineStr">
        <is>
          <t>IPC</t>
        </is>
      </c>
    </row>
    <row r="19">
      <c r="A19" s="12" t="n">
        <v>2022</v>
      </c>
      <c r="B19" s="12" t="n">
        <v>2100</v>
      </c>
      <c r="C19" s="12" t="n">
        <v>100</v>
      </c>
    </row>
    <row r="20">
      <c r="A20" s="12" t="n">
        <v>2023</v>
      </c>
      <c r="B20" s="12" t="n">
        <v>2200</v>
      </c>
      <c r="C20" s="12" t="n">
        <v>102</v>
      </c>
    </row>
    <row r="21">
      <c r="A21" s="12" t="n">
        <v>2024</v>
      </c>
      <c r="B21" s="12" t="n">
        <v>2250</v>
      </c>
      <c r="C21" s="12" t="n">
        <v>105.6</v>
      </c>
    </row>
    <row r="22">
      <c r="A22" s="12" t="n">
        <v>2025</v>
      </c>
      <c r="B22" s="12" t="n">
        <v>2330</v>
      </c>
      <c r="C22" s="12" t="n">
        <v>109.8</v>
      </c>
    </row>
    <row r="23"/>
    <row r="24">
      <c r="A24" s="19" t="inlineStr">
        <is>
          <t>Salario real de 2025 en € de 2022</t>
        </is>
      </c>
      <c r="B24" s="20" t="n"/>
      <c r="C24" s="19">
        <f>IF(B24="","",IF(AND(ISNUMBER(B24),ABS(B24-Claves!$A$449)&lt;=2.122040072859745),"✔ Bien",IF(NOT(ISNUMBER(B24)),"✘ Escribe solo el número (sin texto ni %).",IF(ABS(B24-2558.34)&lt;=2.5583400000000003,"✘ Para deflactar se DIVIDE entre el IPC (× 100).","✘ Revisa el cálculo."))))</f>
        <v/>
      </c>
    </row>
    <row r="25">
      <c r="A25" s="19" t="inlineStr">
        <is>
          <t>Variación nominal 2022-2025 (decimal)</t>
        </is>
      </c>
      <c r="B25" s="20" t="n"/>
      <c r="C25" s="19">
        <f>IF(B25="","",IF(AND(ISNUMBER(B25),OR(ABS(B25-Claves!$A$450)&lt;=0.00010952380952380959,ABS(B25/100-Claves!$A$450)&lt;=0.00010952380952380959)),"✔ Bien",IF(NOT(ISNUMBER(B25)),"✘ Escribe solo el número (sin texto ni %).","✘ Revisa el cálculo.")))</f>
        <v/>
      </c>
    </row>
    <row r="26">
      <c r="A26" s="19" t="inlineStr">
        <is>
          <t>Variación real 2022-2025 (decimal)</t>
        </is>
      </c>
      <c r="B26" s="20" t="n"/>
      <c r="C26" s="19">
        <f>IF(B26="","",IF(AND(ISNUMBER(B26),OR(ABS(B26-Claves!$A$451)&lt;=5.1000000000000006e-05,ABS(B26/100-Claves!$A$451)&lt;=5.1000000000000006e-05)),"✔ Bien",IF(NOT(ISNUMBER(B26)),"✘ Escribe solo el número (sin texto ni %).",IF(OR(ABS(B26-0.011523809523809714)&lt;=5.1000000000000006e-05,ABS(B26/100-0.011523809523809714)&lt;=5.1000000000000006e-05),"✘ Los porcentajes no se restan: compara el salario real con el de 2022.","✘ Revisa el cálculo."))))</f>
        <v/>
      </c>
    </row>
  </sheetData>
  <mergeCells count="6">
    <mergeCell ref="C14:I14"/>
    <mergeCell ref="C13:I13"/>
    <mergeCell ref="C26:I26"/>
    <mergeCell ref="C24:I24"/>
    <mergeCell ref="C15:I15"/>
    <mergeCell ref="C25:I25"/>
  </mergeCells>
  <conditionalFormatting sqref="B13">
    <cfRule type="expression" priority="1" dxfId="0">
      <formula>LEFT($C13,1)="✔"</formula>
    </cfRule>
    <cfRule type="expression" priority="2" dxfId="1">
      <formula>LEFT($C13,1)="✘"</formula>
    </cfRule>
  </conditionalFormatting>
  <conditionalFormatting sqref="C13:I13">
    <cfRule type="expression" priority="3" dxfId="2">
      <formula>LEFT($C13,1)="✔"</formula>
    </cfRule>
    <cfRule type="expression" priority="4" dxfId="3">
      <formula>LEFT($C13,1)="✘"</formula>
    </cfRule>
  </conditionalFormatting>
  <conditionalFormatting sqref="B14">
    <cfRule type="expression" priority="5" dxfId="0">
      <formula>LEFT($C14,1)="✔"</formula>
    </cfRule>
    <cfRule type="expression" priority="6" dxfId="1">
      <formula>LEFT($C14,1)="✘"</formula>
    </cfRule>
  </conditionalFormatting>
  <conditionalFormatting sqref="C14:I14">
    <cfRule type="expression" priority="7" dxfId="2">
      <formula>LEFT($C14,1)="✔"</formula>
    </cfRule>
    <cfRule type="expression" priority="8" dxfId="3">
      <formula>LEFT($C14,1)="✘"</formula>
    </cfRule>
  </conditionalFormatting>
  <conditionalFormatting sqref="B15">
    <cfRule type="expression" priority="9" dxfId="0">
      <formula>LEFT($C15,1)="✔"</formula>
    </cfRule>
    <cfRule type="expression" priority="10" dxfId="1">
      <formula>LEFT($C15,1)="✘"</formula>
    </cfRule>
  </conditionalFormatting>
  <conditionalFormatting sqref="C15:I15">
    <cfRule type="expression" priority="11" dxfId="2">
      <formula>LEFT($C15,1)="✔"</formula>
    </cfRule>
    <cfRule type="expression" priority="12" dxfId="3">
      <formula>LEFT($C15,1)="✘"</formula>
    </cfRule>
  </conditionalFormatting>
  <conditionalFormatting sqref="B24">
    <cfRule type="expression" priority="13" dxfId="0">
      <formula>LEFT($C24,1)="✔"</formula>
    </cfRule>
    <cfRule type="expression" priority="14" dxfId="1">
      <formula>LEFT($C24,1)="✘"</formula>
    </cfRule>
  </conditionalFormatting>
  <conditionalFormatting sqref="C24:I24">
    <cfRule type="expression" priority="15" dxfId="2">
      <formula>LEFT($C24,1)="✔"</formula>
    </cfRule>
    <cfRule type="expression" priority="16" dxfId="3">
      <formula>LEFT($C24,1)="✘"</formula>
    </cfRule>
  </conditionalFormatting>
  <conditionalFormatting sqref="B25">
    <cfRule type="expression" priority="17" dxfId="0">
      <formula>LEFT($C25,1)="✔"</formula>
    </cfRule>
    <cfRule type="expression" priority="18" dxfId="1">
      <formula>LEFT($C25,1)="✘"</formula>
    </cfRule>
  </conditionalFormatting>
  <conditionalFormatting sqref="C25:I25">
    <cfRule type="expression" priority="19" dxfId="2">
      <formula>LEFT($C25,1)="✔"</formula>
    </cfRule>
    <cfRule type="expression" priority="20" dxfId="3">
      <formula>LEFT($C25,1)="✘"</formula>
    </cfRule>
  </conditionalFormatting>
  <conditionalFormatting sqref="B26">
    <cfRule type="expression" priority="21" dxfId="0">
      <formula>LEFT($C26,1)="✔"</formula>
    </cfRule>
    <cfRule type="expression" priority="22" dxfId="1">
      <formula>LEFT($C26,1)="✘"</formula>
    </cfRule>
  </conditionalFormatting>
  <conditionalFormatting sqref="C26:I26">
    <cfRule type="expression" priority="23" dxfId="2">
      <formula>LEFT($C26,1)="✔"</formula>
    </cfRule>
    <cfRule type="expression" priority="24" dxfId="3">
      <formula>LEFT($C26,1)="✘"</formula>
    </cfRule>
  </conditionalFormatting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451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0.3333333333333333</v>
      </c>
    </row>
    <row r="3">
      <c r="A3" t="n">
        <v>10</v>
      </c>
    </row>
    <row r="4">
      <c r="A4" t="n">
        <v>0</v>
      </c>
    </row>
    <row r="5">
      <c r="A5" t="n">
        <v>0</v>
      </c>
    </row>
    <row r="6">
      <c r="A6" t="n">
        <v>8</v>
      </c>
    </row>
    <row r="7">
      <c r="A7" t="n">
        <v>0.2666666666666667</v>
      </c>
    </row>
    <row r="8">
      <c r="A8" t="n">
        <v>18</v>
      </c>
    </row>
    <row r="9">
      <c r="A9" t="n">
        <v>8</v>
      </c>
    </row>
    <row r="10">
      <c r="A10" t="n">
        <v>8</v>
      </c>
    </row>
    <row r="11">
      <c r="A11" t="n">
        <v>5</v>
      </c>
    </row>
    <row r="12">
      <c r="A12" t="n">
        <v>0.1666666666666667</v>
      </c>
    </row>
    <row r="13">
      <c r="A13" t="n">
        <v>23</v>
      </c>
    </row>
    <row r="14">
      <c r="A14" t="n">
        <v>10</v>
      </c>
    </row>
    <row r="15">
      <c r="A15" t="n">
        <v>20</v>
      </c>
    </row>
    <row r="16">
      <c r="A16" t="n">
        <v>4</v>
      </c>
    </row>
    <row r="17">
      <c r="A17" t="n">
        <v>0.1333333333333333</v>
      </c>
    </row>
    <row r="18">
      <c r="A18" t="n">
        <v>27</v>
      </c>
    </row>
    <row r="19">
      <c r="A19" t="n">
        <v>12</v>
      </c>
    </row>
    <row r="20">
      <c r="A20" t="n">
        <v>36</v>
      </c>
    </row>
    <row r="21">
      <c r="A21" t="n">
        <v>2</v>
      </c>
    </row>
    <row r="22">
      <c r="A22" t="n">
        <v>0.06666666666666667</v>
      </c>
    </row>
    <row r="23">
      <c r="A23" t="n">
        <v>29</v>
      </c>
    </row>
    <row r="24">
      <c r="A24" t="n">
        <v>8</v>
      </c>
    </row>
    <row r="25">
      <c r="A25" t="n">
        <v>32</v>
      </c>
    </row>
    <row r="26">
      <c r="A26" t="n">
        <v>1</v>
      </c>
    </row>
    <row r="27">
      <c r="A27" t="n">
        <v>0.03333333333333333</v>
      </c>
    </row>
    <row r="28">
      <c r="A28" t="n">
        <v>30</v>
      </c>
    </row>
    <row r="29">
      <c r="A29" t="n">
        <v>5</v>
      </c>
    </row>
    <row r="30">
      <c r="A30" t="n">
        <v>25</v>
      </c>
    </row>
    <row r="31">
      <c r="A31" t="n">
        <v>30</v>
      </c>
    </row>
    <row r="32">
      <c r="A32" t="n">
        <v>1.433333333333333</v>
      </c>
    </row>
    <row r="33">
      <c r="A33" t="n">
        <v>1</v>
      </c>
    </row>
    <row r="34">
      <c r="A34" t="n">
        <v>0</v>
      </c>
    </row>
    <row r="35">
      <c r="A35" t="n">
        <v>0</v>
      </c>
    </row>
    <row r="36">
      <c r="A36" t="n">
        <v>2</v>
      </c>
    </row>
    <row r="37">
      <c r="A37" t="n">
        <v>1.978888888888889</v>
      </c>
    </row>
    <row r="38">
      <c r="A38" t="n">
        <v>2.047126436781609</v>
      </c>
    </row>
    <row r="39">
      <c r="A39" t="n">
        <v>1.406729856400613</v>
      </c>
    </row>
    <row r="40">
      <c r="A40" t="n">
        <v>0.9814394346981019</v>
      </c>
    </row>
    <row r="41">
      <c r="A41" t="n">
        <v>0.2333333333333333</v>
      </c>
    </row>
    <row r="42">
      <c r="A42" t="n">
        <v>5</v>
      </c>
    </row>
    <row r="43">
      <c r="A43" t="n">
        <v>0.1666666666666667</v>
      </c>
    </row>
    <row r="44">
      <c r="A44" t="n">
        <v>5</v>
      </c>
    </row>
    <row r="45">
      <c r="A45" t="n">
        <v>0</v>
      </c>
    </row>
    <row r="46">
      <c r="A46" t="n">
        <v>0</v>
      </c>
    </row>
    <row r="47">
      <c r="A47" t="n">
        <v>12</v>
      </c>
    </row>
    <row r="48">
      <c r="A48" t="n">
        <v>0.4</v>
      </c>
    </row>
    <row r="49">
      <c r="A49" t="n">
        <v>17</v>
      </c>
    </row>
    <row r="50">
      <c r="A50" t="n">
        <v>12</v>
      </c>
    </row>
    <row r="51">
      <c r="A51" t="n">
        <v>12</v>
      </c>
    </row>
    <row r="52">
      <c r="A52" t="n">
        <v>4</v>
      </c>
    </row>
    <row r="53">
      <c r="A53" t="n">
        <v>0.1333333333333333</v>
      </c>
    </row>
    <row r="54">
      <c r="A54" t="n">
        <v>21</v>
      </c>
    </row>
    <row r="55">
      <c r="A55" t="n">
        <v>8</v>
      </c>
    </row>
    <row r="56">
      <c r="A56" t="n">
        <v>16</v>
      </c>
    </row>
    <row r="57">
      <c r="A57" t="n">
        <v>2</v>
      </c>
    </row>
    <row r="58">
      <c r="A58" t="n">
        <v>0.06666666666666667</v>
      </c>
    </row>
    <row r="59">
      <c r="A59" t="n">
        <v>23</v>
      </c>
    </row>
    <row r="60">
      <c r="A60" t="n">
        <v>6</v>
      </c>
    </row>
    <row r="61">
      <c r="A61" t="n">
        <v>18</v>
      </c>
    </row>
    <row r="62">
      <c r="A62" t="n">
        <v>7</v>
      </c>
    </row>
    <row r="63">
      <c r="A63" t="n">
        <v>0.2333333333333333</v>
      </c>
    </row>
    <row r="64">
      <c r="A64" t="n">
        <v>30</v>
      </c>
    </row>
    <row r="65">
      <c r="A65" t="n">
        <v>28</v>
      </c>
    </row>
    <row r="66">
      <c r="A66" t="n">
        <v>112</v>
      </c>
    </row>
    <row r="67">
      <c r="A67" t="n">
        <v>30</v>
      </c>
    </row>
    <row r="68">
      <c r="A68" t="n">
        <v>1.8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3</v>
      </c>
    </row>
    <row r="73">
      <c r="A73" t="n">
        <v>2.026666666666667</v>
      </c>
    </row>
    <row r="74">
      <c r="A74" t="n">
        <v>2.096551724137931</v>
      </c>
    </row>
    <row r="75">
      <c r="A75" t="n">
        <v>1.423610433604175</v>
      </c>
    </row>
    <row r="76">
      <c r="A76" t="n">
        <v>0.7908946853356527</v>
      </c>
    </row>
    <row r="77">
      <c r="A77" t="n">
        <v>0.3</v>
      </c>
    </row>
    <row r="78">
      <c r="A78" t="n">
        <v>30</v>
      </c>
    </row>
    <row r="79">
      <c r="A79" t="n">
        <v>1.9</v>
      </c>
    </row>
    <row r="80">
      <c r="A80" t="n">
        <v>1</v>
      </c>
    </row>
    <row r="81">
      <c r="A81" t="n">
        <v>0</v>
      </c>
    </row>
    <row r="82">
      <c r="A82" t="n">
        <v>0</v>
      </c>
    </row>
    <row r="83">
      <c r="A83" t="n">
        <v>3</v>
      </c>
    </row>
    <row r="84">
      <c r="A84" t="n">
        <v>3.09</v>
      </c>
    </row>
    <row r="85">
      <c r="A85" t="n">
        <v>3.196551724137931</v>
      </c>
    </row>
    <row r="86">
      <c r="A86" t="n">
        <v>1.757839583124695</v>
      </c>
    </row>
    <row r="87">
      <c r="A87" t="n">
        <v>0.9251787279603657</v>
      </c>
    </row>
    <row r="88">
      <c r="A88" t="n">
        <v>0.4</v>
      </c>
    </row>
    <row r="89">
      <c r="A89" t="n">
        <v>900</v>
      </c>
    </row>
    <row r="90">
      <c r="A90" t="n">
        <v>200</v>
      </c>
    </row>
    <row r="91">
      <c r="A91" t="n">
        <v>0.04</v>
      </c>
    </row>
    <row r="92">
      <c r="A92" t="n">
        <v>7200</v>
      </c>
    </row>
    <row r="93">
      <c r="A93" t="n">
        <v>6480000</v>
      </c>
    </row>
    <row r="94">
      <c r="A94" t="n">
        <v>8</v>
      </c>
    </row>
    <row r="95">
      <c r="A95" t="n">
        <v>1100</v>
      </c>
    </row>
    <row r="96">
      <c r="A96" t="n">
        <v>200</v>
      </c>
    </row>
    <row r="97">
      <c r="A97" t="n">
        <v>0.11</v>
      </c>
    </row>
    <row r="98">
      <c r="A98" t="n">
        <v>24200</v>
      </c>
    </row>
    <row r="99">
      <c r="A99" t="n">
        <v>26620000</v>
      </c>
    </row>
    <row r="100">
      <c r="A100" t="n">
        <v>30</v>
      </c>
    </row>
    <row r="101">
      <c r="A101" t="n">
        <v>1350</v>
      </c>
    </row>
    <row r="102">
      <c r="A102" t="n">
        <v>300</v>
      </c>
    </row>
    <row r="103">
      <c r="A103" t="n">
        <v>0.11</v>
      </c>
    </row>
    <row r="104">
      <c r="A104" t="n">
        <v>44550</v>
      </c>
    </row>
    <row r="105">
      <c r="A105" t="n">
        <v>60142500</v>
      </c>
    </row>
    <row r="106">
      <c r="A106" t="n">
        <v>63</v>
      </c>
    </row>
    <row r="107">
      <c r="A107" t="n">
        <v>1750</v>
      </c>
    </row>
    <row r="108">
      <c r="A108" t="n">
        <v>500</v>
      </c>
    </row>
    <row r="109">
      <c r="A109" t="n">
        <v>0.054</v>
      </c>
    </row>
    <row r="110">
      <c r="A110" t="n">
        <v>47250</v>
      </c>
    </row>
    <row r="111">
      <c r="A111" t="n">
        <v>82687500</v>
      </c>
    </row>
    <row r="112">
      <c r="A112" t="n">
        <v>90</v>
      </c>
    </row>
    <row r="113">
      <c r="A113" t="n">
        <v>2500</v>
      </c>
    </row>
    <row r="114">
      <c r="A114" t="n">
        <v>1000</v>
      </c>
    </row>
    <row r="115">
      <c r="A115" t="n">
        <v>0.01</v>
      </c>
    </row>
    <row r="116">
      <c r="A116" t="n">
        <v>25000</v>
      </c>
    </row>
    <row r="117">
      <c r="A117" t="n">
        <v>62500000</v>
      </c>
    </row>
    <row r="118">
      <c r="A118" t="n">
        <v>100</v>
      </c>
    </row>
    <row r="119">
      <c r="A119" t="n">
        <v>100</v>
      </c>
    </row>
    <row r="120">
      <c r="A120" t="n">
        <v>1482</v>
      </c>
    </row>
    <row r="121">
      <c r="A121" t="n">
        <v>187976</v>
      </c>
    </row>
    <row r="122">
      <c r="A122" t="n">
        <v>433.5619909540042</v>
      </c>
    </row>
    <row r="123">
      <c r="A123" t="n">
        <v>0.2925519507112039</v>
      </c>
    </row>
    <row r="124">
      <c r="A124" t="n">
        <v>1200</v>
      </c>
    </row>
    <row r="125">
      <c r="A125" t="n">
        <v>1381.818181818182</v>
      </c>
    </row>
    <row r="126">
      <c r="A126" t="n">
        <v>1814.814814814815</v>
      </c>
    </row>
    <row r="127">
      <c r="A127" t="n">
        <v>25</v>
      </c>
    </row>
    <row r="128">
      <c r="A128" t="n">
        <v>10</v>
      </c>
    </row>
    <row r="129">
      <c r="A129" t="n">
        <v>0.7</v>
      </c>
    </row>
    <row r="130">
      <c r="A130" t="n">
        <v>175</v>
      </c>
    </row>
    <row r="131">
      <c r="A131" t="n">
        <v>4375</v>
      </c>
    </row>
    <row r="132">
      <c r="A132" t="n">
        <v>7</v>
      </c>
    </row>
    <row r="133">
      <c r="A133" t="n">
        <v>35</v>
      </c>
    </row>
    <row r="134">
      <c r="A134" t="n">
        <v>10</v>
      </c>
    </row>
    <row r="135">
      <c r="A135" t="n">
        <v>1.4</v>
      </c>
    </row>
    <row r="136">
      <c r="A136" t="n">
        <v>490</v>
      </c>
    </row>
    <row r="137">
      <c r="A137" t="n">
        <v>17150</v>
      </c>
    </row>
    <row r="138">
      <c r="A138" t="n">
        <v>21</v>
      </c>
    </row>
    <row r="139">
      <c r="A139" t="n">
        <v>50</v>
      </c>
    </row>
    <row r="140">
      <c r="A140" t="n">
        <v>20</v>
      </c>
    </row>
    <row r="141">
      <c r="A141" t="n">
        <v>1.95</v>
      </c>
    </row>
    <row r="142">
      <c r="A142" t="n">
        <v>1950</v>
      </c>
    </row>
    <row r="143">
      <c r="A143" t="n">
        <v>97500</v>
      </c>
    </row>
    <row r="144">
      <c r="A144" t="n">
        <v>60</v>
      </c>
    </row>
    <row r="145">
      <c r="A145" t="n">
        <v>70</v>
      </c>
    </row>
    <row r="146">
      <c r="A146" t="n">
        <v>20</v>
      </c>
    </row>
    <row r="147">
      <c r="A147" t="n">
        <v>1.25</v>
      </c>
    </row>
    <row r="148">
      <c r="A148" t="n">
        <v>1750</v>
      </c>
    </row>
    <row r="149">
      <c r="A149" t="n">
        <v>122500</v>
      </c>
    </row>
    <row r="150">
      <c r="A150" t="n">
        <v>85</v>
      </c>
    </row>
    <row r="151">
      <c r="A151" t="n">
        <v>100</v>
      </c>
    </row>
    <row r="152">
      <c r="A152" t="n">
        <v>40</v>
      </c>
    </row>
    <row r="153">
      <c r="A153" t="n">
        <v>0.4</v>
      </c>
    </row>
    <row r="154">
      <c r="A154" t="n">
        <v>1600</v>
      </c>
    </row>
    <row r="155">
      <c r="A155" t="n">
        <v>160000</v>
      </c>
    </row>
    <row r="156">
      <c r="A156" t="n">
        <v>101</v>
      </c>
    </row>
    <row r="157">
      <c r="A157" t="n">
        <v>101</v>
      </c>
    </row>
    <row r="158">
      <c r="A158" t="n">
        <v>59.05940594059406</v>
      </c>
    </row>
    <row r="159">
      <c r="A159" t="n">
        <v>487.4816194490736</v>
      </c>
    </row>
    <row r="160">
      <c r="A160" t="n">
        <v>22.07898592438234</v>
      </c>
    </row>
    <row r="161">
      <c r="A161" t="n">
        <v>0.3738436845536658</v>
      </c>
    </row>
    <row r="162">
      <c r="A162" t="n">
        <v>48.8</v>
      </c>
    </row>
    <row r="163">
      <c r="A163" t="n">
        <v>55.12820512820512</v>
      </c>
    </row>
    <row r="164">
      <c r="A164" t="n">
        <v>76.64000000000001</v>
      </c>
    </row>
    <row r="165">
      <c r="A165" t="n">
        <v>89</v>
      </c>
    </row>
    <row r="166">
      <c r="A166" t="n">
        <v>16.26404494382022</v>
      </c>
    </row>
    <row r="167">
      <c r="A167" t="n">
        <v>95.94432521146319</v>
      </c>
    </row>
    <row r="168">
      <c r="A168" t="n">
        <v>9.795117416930907</v>
      </c>
    </row>
    <row r="169">
      <c r="A169" t="n">
        <v>0.6022559240807259</v>
      </c>
    </row>
    <row r="170">
      <c r="A170" t="n">
        <v>8.600000000000001</v>
      </c>
    </row>
    <row r="171">
      <c r="A171" t="n">
        <v>15</v>
      </c>
    </row>
    <row r="172">
      <c r="A172" t="n">
        <v>24.8695652173913</v>
      </c>
    </row>
    <row r="173">
      <c r="A173" t="n">
        <v>44100</v>
      </c>
    </row>
    <row r="174">
      <c r="A174" t="n">
        <v>1764000</v>
      </c>
    </row>
    <row r="175">
      <c r="A175" t="n">
        <v>0.1272727272727273</v>
      </c>
    </row>
    <row r="176">
      <c r="A176" t="n">
        <v>81000</v>
      </c>
    </row>
    <row r="177">
      <c r="A177" t="n">
        <v>25600</v>
      </c>
    </row>
    <row r="178">
      <c r="A178" t="n">
        <v>2304000</v>
      </c>
    </row>
    <row r="179">
      <c r="A179" t="n">
        <v>0.1081081081081081</v>
      </c>
    </row>
    <row r="180">
      <c r="A180" t="n">
        <v>1406250</v>
      </c>
    </row>
    <row r="181">
      <c r="A181" t="n">
        <v>144400</v>
      </c>
    </row>
    <row r="182">
      <c r="A182" t="n">
        <v>4332000</v>
      </c>
    </row>
    <row r="183">
      <c r="A183" t="n">
        <v>0.1979166666666667</v>
      </c>
    </row>
    <row r="184">
      <c r="A184" t="n">
        <v>2976750</v>
      </c>
    </row>
    <row r="185">
      <c r="A185" t="inlineStr">
        <is>
          <t>Producción</t>
        </is>
      </c>
    </row>
    <row r="186">
      <c r="A186" t="n">
        <v>1605</v>
      </c>
    </row>
    <row r="187">
      <c r="A187" t="n">
        <v>52500</v>
      </c>
    </row>
    <row r="188">
      <c r="A188" t="n">
        <v>27900</v>
      </c>
    </row>
    <row r="189">
      <c r="A189" t="n">
        <v>80400</v>
      </c>
    </row>
    <row r="190">
      <c r="A190" t="n">
        <v>283.5489375751565</v>
      </c>
    </row>
    <row r="191">
      <c r="A191" t="n">
        <v>0.3470149253731343</v>
      </c>
    </row>
    <row r="192">
      <c r="A192" t="n">
        <v>1653.15</v>
      </c>
    </row>
    <row r="193">
      <c r="A193" t="n">
        <v>85296.36</v>
      </c>
    </row>
    <row r="194">
      <c r="A194" t="n">
        <v>176400</v>
      </c>
    </row>
    <row r="195">
      <c r="A195" t="n">
        <v>21168000</v>
      </c>
    </row>
    <row r="196">
      <c r="A196" t="n">
        <v>0.1787234042553192</v>
      </c>
    </row>
    <row r="197">
      <c r="A197" t="n">
        <v>1399680</v>
      </c>
    </row>
    <row r="198">
      <c r="A198" t="n">
        <v>90000</v>
      </c>
    </row>
    <row r="199">
      <c r="A199" t="n">
        <v>7200000</v>
      </c>
    </row>
    <row r="200">
      <c r="A200" t="n">
        <v>0.1442307692307692</v>
      </c>
    </row>
    <row r="201">
      <c r="A201" t="n">
        <v>2099520</v>
      </c>
    </row>
    <row r="202">
      <c r="A202" t="inlineStr">
        <is>
          <t>Mujeres</t>
        </is>
      </c>
    </row>
    <row r="203">
      <c r="A203" t="n">
        <v>2242</v>
      </c>
    </row>
    <row r="204">
      <c r="A204" t="n">
        <v>141840</v>
      </c>
    </row>
    <row r="205">
      <c r="A205" t="n">
        <v>17496</v>
      </c>
    </row>
    <row r="206">
      <c r="A206" t="n">
        <v>159336</v>
      </c>
    </row>
    <row r="207">
      <c r="A207" t="n">
        <v>399.1691370835175</v>
      </c>
    </row>
    <row r="208">
      <c r="A208" t="n">
        <v>0.1098056936285585</v>
      </c>
    </row>
    <row r="209">
      <c r="A209" t="n">
        <v>2326.84</v>
      </c>
    </row>
    <row r="210">
      <c r="A210" t="n">
        <v>165773.1744</v>
      </c>
    </row>
    <row r="211">
      <c r="A211" t="inlineStr">
        <is>
          <t>Centro B</t>
        </is>
      </c>
    </row>
    <row r="212">
      <c r="A212" t="n">
        <v>23.625</v>
      </c>
    </row>
    <row r="213">
      <c r="A213" t="n">
        <v>19.12208333333333</v>
      </c>
    </row>
    <row r="214">
      <c r="A214" t="n">
        <v>7.984375</v>
      </c>
    </row>
    <row r="215">
      <c r="A215" t="n">
        <v>27.10645833333333</v>
      </c>
    </row>
    <row r="216">
      <c r="A216" t="n">
        <v>5.206386302737565</v>
      </c>
    </row>
    <row r="217">
      <c r="A217" t="n">
        <v>0.2945561866406376</v>
      </c>
    </row>
    <row r="218">
      <c r="A218" t="n">
        <v>25.125</v>
      </c>
    </row>
    <row r="219">
      <c r="A219" t="n">
        <v>27.10645833333333</v>
      </c>
    </row>
    <row r="220">
      <c r="A220" t="n">
        <v>48</v>
      </c>
    </row>
    <row r="221">
      <c r="A221" t="n">
        <v>0.1571428571428571</v>
      </c>
    </row>
    <row r="222">
      <c r="A222" t="n">
        <v>0.1285714285714286</v>
      </c>
    </row>
    <row r="223">
      <c r="A223" t="n">
        <v>0.05714285714285714</v>
      </c>
    </row>
    <row r="224">
      <c r="A224" t="n">
        <v>50</v>
      </c>
    </row>
    <row r="225">
      <c r="A225" t="n">
        <v>0.1</v>
      </c>
    </row>
    <row r="226">
      <c r="A226" t="n">
        <v>0.1428571428571428</v>
      </c>
    </row>
    <row r="227">
      <c r="A227" t="n">
        <v>0.1142857142857143</v>
      </c>
    </row>
    <row r="228">
      <c r="A228" t="n">
        <v>42</v>
      </c>
    </row>
    <row r="229">
      <c r="A229" t="n">
        <v>0.03571428571428571</v>
      </c>
    </row>
    <row r="230">
      <c r="A230" t="n">
        <v>0.07857142857142857</v>
      </c>
    </row>
    <row r="231">
      <c r="A231" t="n">
        <v>0.1857142857142857</v>
      </c>
    </row>
    <row r="232">
      <c r="A232" t="n">
        <v>0.1004081632653061</v>
      </c>
    </row>
    <row r="233">
      <c r="A233" t="n">
        <v>0.12</v>
      </c>
    </row>
    <row r="234">
      <c r="A234" t="n">
        <v>0.1224489795918367</v>
      </c>
    </row>
    <row r="235">
      <c r="A235" t="n">
        <v>0.1045918367346939</v>
      </c>
    </row>
    <row r="236">
      <c r="A236" t="n">
        <v>0.125</v>
      </c>
    </row>
    <row r="237">
      <c r="A237" t="n">
        <v>0.1275510204081633</v>
      </c>
    </row>
    <row r="238">
      <c r="A238" t="n">
        <v>0.08785714285714286</v>
      </c>
    </row>
    <row r="239">
      <c r="A239" t="n">
        <v>0.105</v>
      </c>
    </row>
    <row r="240">
      <c r="A240" t="n">
        <v>0.1071428571428571</v>
      </c>
    </row>
    <row r="241">
      <c r="A241" t="n">
        <v>140</v>
      </c>
    </row>
    <row r="242">
      <c r="A242" t="n">
        <v>49</v>
      </c>
    </row>
    <row r="243">
      <c r="A243" t="n">
        <v>0.1571428571428571</v>
      </c>
    </row>
    <row r="244">
      <c r="A244" t="n">
        <v>0.1004081632653061</v>
      </c>
    </row>
    <row r="245">
      <c r="A245" t="n">
        <v>0.6190476190476191</v>
      </c>
    </row>
    <row r="246">
      <c r="A246" t="n">
        <v>0.3414634146341464</v>
      </c>
    </row>
    <row r="247">
      <c r="A247" t="inlineStr">
        <is>
          <t>No</t>
        </is>
      </c>
    </row>
    <row r="248">
      <c r="A248" t="n">
        <v>30</v>
      </c>
    </row>
    <row r="249">
      <c r="A249" t="n">
        <v>0.12</v>
      </c>
    </row>
    <row r="250">
      <c r="A250" t="n">
        <v>0.04</v>
      </c>
    </row>
    <row r="251">
      <c r="A251" t="n">
        <v>0.04</v>
      </c>
    </row>
    <row r="252">
      <c r="A252" t="n">
        <v>50</v>
      </c>
    </row>
    <row r="253">
      <c r="A253" t="n">
        <v>0.2</v>
      </c>
    </row>
    <row r="254">
      <c r="A254" t="n">
        <v>0.06666666666666667</v>
      </c>
    </row>
    <row r="255">
      <c r="A255" t="n">
        <v>0.06666666666666667</v>
      </c>
    </row>
    <row r="256">
      <c r="A256" t="n">
        <v>70</v>
      </c>
    </row>
    <row r="257">
      <c r="A257" t="n">
        <v>0.28</v>
      </c>
    </row>
    <row r="258">
      <c r="A258" t="n">
        <v>0.09333333333333334</v>
      </c>
    </row>
    <row r="259">
      <c r="A259" t="n">
        <v>0.09333333333333334</v>
      </c>
    </row>
    <row r="260">
      <c r="A260" t="n">
        <v>0.12</v>
      </c>
    </row>
    <row r="261">
      <c r="A261" t="n">
        <v>0.04</v>
      </c>
    </row>
    <row r="262">
      <c r="A262" t="n">
        <v>0.04</v>
      </c>
    </row>
    <row r="263">
      <c r="A263" t="n">
        <v>0.2</v>
      </c>
    </row>
    <row r="264">
      <c r="A264" t="n">
        <v>0.06666666666666667</v>
      </c>
    </row>
    <row r="265">
      <c r="A265" t="n">
        <v>0.06666666666666667</v>
      </c>
    </row>
    <row r="266">
      <c r="A266" t="n">
        <v>0.28</v>
      </c>
    </row>
    <row r="267">
      <c r="A267" t="n">
        <v>0.09333333333333334</v>
      </c>
    </row>
    <row r="268">
      <c r="A268" t="n">
        <v>0.09333333333333334</v>
      </c>
    </row>
    <row r="269">
      <c r="A269" t="n">
        <v>150</v>
      </c>
    </row>
    <row r="270">
      <c r="A270" t="n">
        <v>30</v>
      </c>
    </row>
    <row r="271">
      <c r="A271" t="n">
        <v>0.12</v>
      </c>
    </row>
    <row r="272">
      <c r="A272" t="n">
        <v>0.12</v>
      </c>
    </row>
    <row r="273">
      <c r="A273" t="n">
        <v>0.2</v>
      </c>
    </row>
    <row r="274">
      <c r="A274" t="n">
        <v>0.3333333333333333</v>
      </c>
    </row>
    <row r="275">
      <c r="A275" t="inlineStr">
        <is>
          <t>Sí</t>
        </is>
      </c>
    </row>
    <row r="276">
      <c r="A276" t="n">
        <v>130</v>
      </c>
    </row>
    <row r="277">
      <c r="A277" t="n">
        <v>41</v>
      </c>
    </row>
    <row r="278">
      <c r="A278" t="n">
        <v>0.07692307692307693</v>
      </c>
    </row>
    <row r="279">
      <c r="A279" t="n">
        <v>0.1372781065088757</v>
      </c>
    </row>
    <row r="280">
      <c r="A280" t="n">
        <v>0.075</v>
      </c>
    </row>
    <row r="281">
      <c r="A281" t="n">
        <v>0.3448275862068966</v>
      </c>
    </row>
    <row r="282">
      <c r="A282" t="inlineStr">
        <is>
          <t>No</t>
        </is>
      </c>
    </row>
    <row r="283">
      <c r="A283" t="n">
        <v>22.6</v>
      </c>
    </row>
    <row r="284">
      <c r="A284" t="n">
        <v>4</v>
      </c>
    </row>
    <row r="285">
      <c r="A285" t="n">
        <v>127.69</v>
      </c>
    </row>
    <row r="286">
      <c r="A286" t="n">
        <v>59.6</v>
      </c>
    </row>
    <row r="287">
      <c r="A287" t="n">
        <v>16</v>
      </c>
    </row>
    <row r="288">
      <c r="A288" t="n">
        <v>222.01</v>
      </c>
    </row>
    <row r="289">
      <c r="A289" t="n">
        <v>127.5</v>
      </c>
    </row>
    <row r="290">
      <c r="A290" t="n">
        <v>25</v>
      </c>
    </row>
    <row r="291">
      <c r="A291" t="n">
        <v>650.25</v>
      </c>
    </row>
    <row r="292">
      <c r="A292" t="n">
        <v>305.9</v>
      </c>
    </row>
    <row r="293">
      <c r="A293" t="n">
        <v>49</v>
      </c>
    </row>
    <row r="294">
      <c r="A294" t="n">
        <v>1909.69</v>
      </c>
    </row>
    <row r="295">
      <c r="A295" t="n">
        <v>215.2</v>
      </c>
    </row>
    <row r="296">
      <c r="A296" t="n">
        <v>64</v>
      </c>
    </row>
    <row r="297">
      <c r="A297" t="n">
        <v>723.6099999999999</v>
      </c>
    </row>
    <row r="298">
      <c r="A298" t="n">
        <v>218</v>
      </c>
    </row>
    <row r="299">
      <c r="A299" t="n">
        <v>100</v>
      </c>
    </row>
    <row r="300">
      <c r="A300" t="n">
        <v>475.24</v>
      </c>
    </row>
    <row r="301">
      <c r="A301" t="n">
        <v>355.2</v>
      </c>
    </row>
    <row r="302">
      <c r="A302" t="n">
        <v>144</v>
      </c>
    </row>
    <row r="303">
      <c r="A303" t="n">
        <v>876.1600000000001</v>
      </c>
    </row>
    <row r="304">
      <c r="A304" t="n">
        <v>1002</v>
      </c>
    </row>
    <row r="305">
      <c r="A305" t="n">
        <v>225</v>
      </c>
    </row>
    <row r="306">
      <c r="A306" t="n">
        <v>4462.24</v>
      </c>
    </row>
    <row r="307">
      <c r="A307" t="n">
        <v>7.875</v>
      </c>
    </row>
    <row r="308">
      <c r="A308" t="n">
        <v>30.0625</v>
      </c>
    </row>
    <row r="309">
      <c r="A309" t="n">
        <v>51.50781249999997</v>
      </c>
    </row>
    <row r="310">
      <c r="A310" t="n">
        <v>3.14851957975167</v>
      </c>
    </row>
    <row r="311">
      <c r="A311" t="n">
        <v>5.267908309455606</v>
      </c>
    </row>
    <row r="312">
      <c r="A312" t="n">
        <v>0.7650075733480199</v>
      </c>
    </row>
    <row r="313">
      <c r="A313" t="n">
        <v>0.5852365872798261</v>
      </c>
    </row>
    <row r="314">
      <c r="A314" t="n">
        <v>14.71346704871062</v>
      </c>
    </row>
    <row r="315">
      <c r="A315" t="n">
        <v>0.4147634127201739</v>
      </c>
    </row>
    <row r="316">
      <c r="A316" t="n">
        <v>330</v>
      </c>
    </row>
    <row r="317">
      <c r="A317" t="n">
        <v>100</v>
      </c>
    </row>
    <row r="318">
      <c r="A318" t="n">
        <v>1089</v>
      </c>
    </row>
    <row r="319">
      <c r="A319" t="n">
        <v>510</v>
      </c>
    </row>
    <row r="320">
      <c r="A320" t="n">
        <v>225</v>
      </c>
    </row>
    <row r="321">
      <c r="A321" t="n">
        <v>1156</v>
      </c>
    </row>
    <row r="322">
      <c r="A322" t="n">
        <v>616</v>
      </c>
    </row>
    <row r="323">
      <c r="A323" t="n">
        <v>400</v>
      </c>
    </row>
    <row r="324">
      <c r="A324" t="n">
        <v>948.6400000000001</v>
      </c>
    </row>
    <row r="325">
      <c r="A325" t="n">
        <v>712.5</v>
      </c>
    </row>
    <row r="326">
      <c r="A326" t="n">
        <v>625</v>
      </c>
    </row>
    <row r="327">
      <c r="A327" t="n">
        <v>812.25</v>
      </c>
    </row>
    <row r="328">
      <c r="A328" t="n">
        <v>825</v>
      </c>
    </row>
    <row r="329">
      <c r="A329" t="n">
        <v>900</v>
      </c>
    </row>
    <row r="330">
      <c r="A330" t="n">
        <v>756.25</v>
      </c>
    </row>
    <row r="331">
      <c r="A331" t="n">
        <v>917</v>
      </c>
    </row>
    <row r="332">
      <c r="A332" t="n">
        <v>1225</v>
      </c>
    </row>
    <row r="333">
      <c r="A333" t="n">
        <v>686.4399999999999</v>
      </c>
    </row>
    <row r="334">
      <c r="A334" t="n">
        <v>904</v>
      </c>
    </row>
    <row r="335">
      <c r="A335" t="n">
        <v>1600</v>
      </c>
    </row>
    <row r="336">
      <c r="A336" t="n">
        <v>510.76</v>
      </c>
    </row>
    <row r="337">
      <c r="A337" t="n">
        <v>900</v>
      </c>
    </row>
    <row r="338">
      <c r="A338" t="n">
        <v>2500</v>
      </c>
    </row>
    <row r="339">
      <c r="A339" t="n">
        <v>324</v>
      </c>
    </row>
    <row r="340">
      <c r="A340" t="n">
        <v>576</v>
      </c>
    </row>
    <row r="341">
      <c r="A341" t="n">
        <v>3600</v>
      </c>
    </row>
    <row r="342">
      <c r="A342" t="n">
        <v>92.16</v>
      </c>
    </row>
    <row r="343">
      <c r="A343" t="n">
        <v>31.66666666666667</v>
      </c>
    </row>
    <row r="344">
      <c r="A344" t="n">
        <v>25.57777777777778</v>
      </c>
    </row>
    <row r="345">
      <c r="A345" t="n">
        <v>-111.0185185185186</v>
      </c>
    </row>
    <row r="346">
      <c r="A346" t="n">
        <v>-0.4647286821705428</v>
      </c>
    </row>
    <row r="347">
      <c r="A347" t="n">
        <v>40.29418604651163</v>
      </c>
    </row>
    <row r="348">
      <c r="A348" t="n">
        <v>-0.9759630527047349</v>
      </c>
    </row>
    <row r="349">
      <c r="A349" t="n">
        <v>0.9525038802447452</v>
      </c>
    </row>
    <row r="350">
      <c r="A350" t="n">
        <v>19.38139534883721</v>
      </c>
    </row>
    <row r="351">
      <c r="A351" t="n">
        <v>0.04749611975525481</v>
      </c>
    </row>
    <row r="352">
      <c r="A352" t="n">
        <v>5.5</v>
      </c>
    </row>
    <row r="353">
      <c r="A353" t="n">
        <v>98.55</v>
      </c>
    </row>
    <row r="354">
      <c r="A354" t="n">
        <v>78.54499999999996</v>
      </c>
    </row>
    <row r="355">
      <c r="A355" t="n">
        <v>9.520606060606056</v>
      </c>
    </row>
    <row r="356">
      <c r="A356" t="n">
        <v>46.18666666666669</v>
      </c>
    </row>
    <row r="357">
      <c r="A357" t="n">
        <v>0.9859588856484804</v>
      </c>
    </row>
    <row r="358">
      <c r="A358" t="n">
        <v>0.9721149241891933</v>
      </c>
    </row>
    <row r="359">
      <c r="A359" t="n">
        <v>150.9133333333333</v>
      </c>
    </row>
    <row r="360">
      <c r="A360" t="n">
        <v>0.02788507581080668</v>
      </c>
    </row>
    <row r="361">
      <c r="A361" t="n">
        <v>10</v>
      </c>
    </row>
    <row r="362">
      <c r="A362" t="n">
        <v>220</v>
      </c>
    </row>
    <row r="363">
      <c r="A363" t="n">
        <v>0.8</v>
      </c>
    </row>
    <row r="364">
      <c r="A364" t="n">
        <v>0.6400000000000001</v>
      </c>
    </row>
    <row r="365">
      <c r="A365" t="n">
        <v>770</v>
      </c>
    </row>
    <row r="366">
      <c r="A366" t="n">
        <v>-60</v>
      </c>
    </row>
    <row r="367">
      <c r="A367" t="n">
        <v>2280</v>
      </c>
    </row>
    <row r="368">
      <c r="A368" t="n">
        <v>-0.6</v>
      </c>
    </row>
    <row r="369">
      <c r="A369" t="n">
        <v>0.36</v>
      </c>
    </row>
    <row r="370">
      <c r="A370" t="n">
        <v>1680</v>
      </c>
    </row>
    <row r="371">
      <c r="A371" t="n">
        <v>1020</v>
      </c>
    </row>
    <row r="372">
      <c r="A372" t="n">
        <v>1.133333333333333</v>
      </c>
    </row>
    <row r="373">
      <c r="A373" t="n">
        <v>40</v>
      </c>
    </row>
    <row r="374">
      <c r="A374" t="n">
        <v>0.7224999999999999</v>
      </c>
    </row>
    <row r="375">
      <c r="A375" t="n">
        <v>244</v>
      </c>
    </row>
    <row r="376">
      <c r="A376" t="n">
        <v>100</v>
      </c>
    </row>
    <row r="377">
      <c r="A377" t="n">
        <v>0</v>
      </c>
    </row>
    <row r="378">
      <c r="A378" t="n">
        <v>91.57509157509158</v>
      </c>
    </row>
    <row r="379">
      <c r="A379" t="n">
        <v>104</v>
      </c>
    </row>
    <row r="380">
      <c r="A380" t="n">
        <v>0.04000000000000004</v>
      </c>
    </row>
    <row r="381">
      <c r="A381" t="n">
        <v>95.23809523809523</v>
      </c>
    </row>
    <row r="382">
      <c r="A382" t="n">
        <v>109.2</v>
      </c>
    </row>
    <row r="383">
      <c r="A383" t="n">
        <v>0.05000000000000004</v>
      </c>
    </row>
    <row r="384">
      <c r="A384" t="n">
        <v>100</v>
      </c>
    </row>
    <row r="385">
      <c r="A385" t="n">
        <v>108</v>
      </c>
    </row>
    <row r="386">
      <c r="A386" t="n">
        <v>-0.01098901098901095</v>
      </c>
    </row>
    <row r="387">
      <c r="A387" t="n">
        <v>98.90109890109891</v>
      </c>
    </row>
    <row r="388">
      <c r="A388" t="n">
        <v>113.6</v>
      </c>
    </row>
    <row r="389">
      <c r="A389" t="n">
        <v>0.05185185185185182</v>
      </c>
    </row>
    <row r="390">
      <c r="A390" t="n">
        <v>104.029304029304</v>
      </c>
    </row>
    <row r="391">
      <c r="A391" t="n">
        <v>0.1359999999999999</v>
      </c>
    </row>
    <row r="392">
      <c r="A392" t="n">
        <v>0.03239188661958115</v>
      </c>
    </row>
    <row r="393">
      <c r="A393" t="n">
        <v>100</v>
      </c>
    </row>
    <row r="394">
      <c r="A394" t="n">
        <v>104</v>
      </c>
    </row>
    <row r="395">
      <c r="A395" t="n">
        <v>110.24</v>
      </c>
    </row>
    <row r="396">
      <c r="A396" t="n">
        <v>106.9328</v>
      </c>
    </row>
    <row r="397">
      <c r="A397" t="n">
        <v>112.27944</v>
      </c>
    </row>
    <row r="398">
      <c r="A398" t="n">
        <v>114.5250288</v>
      </c>
    </row>
    <row r="399">
      <c r="A399" t="n">
        <v>0.1452502880000002</v>
      </c>
    </row>
    <row r="400">
      <c r="A400" t="n">
        <v>0.02749586294745088</v>
      </c>
    </row>
    <row r="401">
      <c r="A401" t="n">
        <v>87.31715769714783</v>
      </c>
    </row>
    <row r="402">
      <c r="A402" t="n">
        <v>125</v>
      </c>
    </row>
    <row r="403">
      <c r="A403" t="n">
        <v>112.5</v>
      </c>
    </row>
    <row r="404">
      <c r="A404" t="n">
        <v>104.1666666666667</v>
      </c>
    </row>
    <row r="405">
      <c r="A405" t="n">
        <v>0.003674809400436851</v>
      </c>
    </row>
    <row r="406">
      <c r="A406" t="n">
        <v>416</v>
      </c>
    </row>
    <row r="407">
      <c r="A407" t="n">
        <v>352</v>
      </c>
    </row>
    <row r="408">
      <c r="A408" t="n">
        <v>390</v>
      </c>
    </row>
    <row r="409">
      <c r="A409" t="n">
        <v>330</v>
      </c>
    </row>
    <row r="410">
      <c r="A410" t="n">
        <v>220.5</v>
      </c>
    </row>
    <row r="411">
      <c r="A411" t="n">
        <v>199.5</v>
      </c>
    </row>
    <row r="412">
      <c r="A412" t="n">
        <v>231</v>
      </c>
    </row>
    <row r="413">
      <c r="A413" t="n">
        <v>209</v>
      </c>
    </row>
    <row r="414">
      <c r="A414" t="n">
        <v>375</v>
      </c>
    </row>
    <row r="415">
      <c r="A415" t="n">
        <v>330</v>
      </c>
    </row>
    <row r="416">
      <c r="A416" t="n">
        <v>350</v>
      </c>
    </row>
    <row r="417">
      <c r="A417" t="n">
        <v>308</v>
      </c>
    </row>
    <row r="418">
      <c r="A418" t="n">
        <v>270</v>
      </c>
    </row>
    <row r="419">
      <c r="A419" t="n">
        <v>195</v>
      </c>
    </row>
    <row r="420">
      <c r="A420" t="n">
        <v>225</v>
      </c>
    </row>
    <row r="421">
      <c r="A421" t="n">
        <v>162.5</v>
      </c>
    </row>
    <row r="422">
      <c r="A422" t="n">
        <v>119.0431955411054</v>
      </c>
    </row>
    <row r="423">
      <c r="A423" t="n">
        <v>118.4744923229322</v>
      </c>
    </row>
    <row r="424">
      <c r="A424" t="n">
        <v>118.7585035112518</v>
      </c>
    </row>
    <row r="425">
      <c r="A425" t="n">
        <v>1498.637602179837</v>
      </c>
    </row>
    <row r="426">
      <c r="A426" t="n">
        <v>0.1000000000000001</v>
      </c>
    </row>
    <row r="427">
      <c r="A427" t="n">
        <v>-0.0009082652134422275</v>
      </c>
    </row>
    <row r="428">
      <c r="A428" t="n">
        <v>735</v>
      </c>
    </row>
    <row r="429">
      <c r="A429" t="n">
        <v>525</v>
      </c>
    </row>
    <row r="430">
      <c r="A430" t="n">
        <v>672</v>
      </c>
    </row>
    <row r="431">
      <c r="A431" t="n">
        <v>480</v>
      </c>
    </row>
    <row r="432">
      <c r="A432" t="n">
        <v>540</v>
      </c>
    </row>
    <row r="433">
      <c r="A433" t="n">
        <v>360</v>
      </c>
    </row>
    <row r="434">
      <c r="A434" t="n">
        <v>468</v>
      </c>
    </row>
    <row r="435">
      <c r="A435" t="n">
        <v>312</v>
      </c>
    </row>
    <row r="436">
      <c r="A436" t="n">
        <v>640</v>
      </c>
    </row>
    <row r="437">
      <c r="A437" t="n">
        <v>600</v>
      </c>
    </row>
    <row r="438">
      <c r="A438" t="n">
        <v>688</v>
      </c>
    </row>
    <row r="439">
      <c r="A439" t="n">
        <v>645</v>
      </c>
    </row>
    <row r="440">
      <c r="A440" t="n">
        <v>128.956228956229</v>
      </c>
    </row>
    <row r="441">
      <c r="A441" t="n">
        <v>127.2094641614474</v>
      </c>
    </row>
    <row r="442">
      <c r="A442" t="n">
        <v>128.0798687764897</v>
      </c>
    </row>
    <row r="443">
      <c r="A443" t="n">
        <v>1763.110307414105</v>
      </c>
    </row>
    <row r="444">
      <c r="A444" t="n">
        <v>0.08333333333333326</v>
      </c>
    </row>
    <row r="445">
      <c r="A445" t="n">
        <v>-0.02049427365883061</v>
      </c>
    </row>
    <row r="446">
      <c r="A446" t="n">
        <v>121.7889908256881</v>
      </c>
    </row>
    <row r="447">
      <c r="A447" t="n">
        <v>121.4457831325301</v>
      </c>
    </row>
    <row r="448">
      <c r="A448" t="n">
        <v>121.6172659113262</v>
      </c>
    </row>
    <row r="449">
      <c r="A449" t="n">
        <v>2122.040072859745</v>
      </c>
    </row>
    <row r="450">
      <c r="A450" t="n">
        <v>0.1095238095238096</v>
      </c>
    </row>
    <row r="451">
      <c r="A451" t="n">
        <v>0.01049527279035489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2026-10-03T12:28:14Z</dcterms:created>
  <dcterms:modified xmlns:dcterms="http://purl.org/dc/terms/" xmlns:xsi="http://www.w3.org/2001/XMLSchema-instance" xsi:type="dcterms:W3CDTF">2026-10-03T12:28:15Z</dcterms:modified>
</cp:coreProperties>
</file>